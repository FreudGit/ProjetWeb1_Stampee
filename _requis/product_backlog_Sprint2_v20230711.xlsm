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2235\AC\Temp\"/>
    </mc:Choice>
  </mc:AlternateContent>
  <xr:revisionPtr revIDLastSave="3" documentId="8_{34AE29E2-F39A-4143-9A2E-8AF3DCDBAF6D}" xr6:coauthVersionLast="47" xr6:coauthVersionMax="47" xr10:uidLastSave="{2640B71D-8581-49C4-8490-F52BAB87F573}"/>
  <bookViews>
    <workbookView xWindow="-60" yWindow="-60" windowWidth="15480" windowHeight="11640" tabRatio="522" firstSheet="3" activeTab="3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2" sheetId="22" r:id="rId5"/>
    <sheet name="Sp3" sheetId="23" r:id="rId6"/>
    <sheet name="Sprint Sheet Template" sheetId="16" r:id="rId7"/>
    <sheet name="Task Slips" sheetId="21" r:id="rId8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 localSheetId="5">'Sp3'!$D$11</definedName>
    <definedName name="DoneDays" localSheetId="6">'Sprint Sheet Template'!$D$11</definedName>
    <definedName name="DoneDays">#REF!</definedName>
    <definedName name="ImplementationDays" localSheetId="3">'Sp1'!$B$9</definedName>
    <definedName name="ImplementationDays" localSheetId="4">'Sp2'!$B$9</definedName>
    <definedName name="ImplementationDays" localSheetId="5">'Sp3'!$B$9</definedName>
    <definedName name="ImplementationDays" localSheetId="6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Backlog'!$A$4:$H$135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OFFSET('Sp3'!$F$10,0,0,1,'Sp3'!DoneDays)</definedName>
    <definedName name="RealValues" localSheetId="6">OFFSET('Sprint Sheet Template'!$F$10,0,0,1,'Sprint Sheet Template'!DoneDays)</definedName>
    <definedName name="Sprint">'Product Backlog'!$F$5:$F$135</definedName>
    <definedName name="SprintCount">'PB Burndown'!$G$3</definedName>
    <definedName name="SprintsInTrend">'PB Burndown'!$G$6</definedName>
    <definedName name="SprintTasks" localSheetId="3">'Sp1'!$A$14:$AD$45</definedName>
    <definedName name="SprintTasks" localSheetId="4">'Sp2'!$A$14:$AD$64</definedName>
    <definedName name="SprintTasks" localSheetId="5">'Sp3'!$A$14:$AD$63</definedName>
    <definedName name="SprintTasks">'Sprint Sheet Template'!$A$14:$AD$63</definedName>
    <definedName name="Status">'Product Backlog'!$D$5:$D$135</definedName>
    <definedName name="StoryName">'Product Backlog'!$C$5:$C$135</definedName>
    <definedName name="TaskRows" localSheetId="3">'Sp1'!$B$11</definedName>
    <definedName name="TaskRows" localSheetId="4">'Sp2'!$B$11</definedName>
    <definedName name="TaskRows" localSheetId="5">'Sp3'!$B$11</definedName>
    <definedName name="TaskRows" localSheetId="6">'Sprint Sheet Template'!$B$11</definedName>
    <definedName name="TaskRows">#REF!</definedName>
    <definedName name="TaskStatus" localSheetId="3">'Sp1'!$D$14:$D$40</definedName>
    <definedName name="TaskStatus" localSheetId="4">'Sp2'!$D$14:$D$58</definedName>
    <definedName name="TaskStatus" localSheetId="5">'Sp3'!$D$14:$D$58</definedName>
    <definedName name="TaskStatus">'Sprint Sheet Template'!$D$14:$D$58</definedName>
    <definedName name="TaskStoryID" localSheetId="3">'Sp1'!$B$14:$B$34</definedName>
    <definedName name="TaskStoryID" localSheetId="4">'Sp2'!$B$14:$B$53</definedName>
    <definedName name="TaskStoryID" localSheetId="5">'Sp3'!$B$14:$B$53</definedName>
    <definedName name="TaskStoryID">'Sprint Sheet Template'!$B$14:$B$53</definedName>
    <definedName name="TotalEffort" localSheetId="3">'Sp1'!$E$10</definedName>
    <definedName name="TotalEffort" localSheetId="4">'Sp2'!$E$10</definedName>
    <definedName name="TotalEffort" localSheetId="5">'Sp3'!$E$10</definedName>
    <definedName name="TotalEffort" localSheetId="6">'Sprint Sheet Template'!$E$10</definedName>
    <definedName name="TotalEffort">#REF!</definedName>
    <definedName name="TrendDays" localSheetId="3">'Sp1'!$D$13</definedName>
    <definedName name="TrendDays" localSheetId="4">'Sp2'!$D$13</definedName>
    <definedName name="TrendDays" localSheetId="5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Backlog'!$A:$H</definedName>
    <definedName name="_xlnm.Print_Area" localSheetId="7">'Task Slips'!#REF!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0" i="22" l="1"/>
  <c r="D60" i="22"/>
  <c r="F62" i="22"/>
  <c r="D62" i="22"/>
  <c r="F61" i="22"/>
  <c r="D61" i="22"/>
  <c r="D3" i="20"/>
  <c r="D8" i="20"/>
  <c r="D18" i="20"/>
  <c r="D17" i="20"/>
  <c r="D64" i="23"/>
  <c r="F59" i="23"/>
  <c r="D59" i="23"/>
  <c r="F58" i="23"/>
  <c r="D58" i="23"/>
  <c r="F57" i="23"/>
  <c r="D57" i="23"/>
  <c r="F56" i="23"/>
  <c r="D56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F17" i="23"/>
  <c r="F16" i="23"/>
  <c r="F15" i="23"/>
  <c r="G14" i="23"/>
  <c r="B11" i="23"/>
  <c r="F59" i="22"/>
  <c r="D59" i="22"/>
  <c r="F58" i="22"/>
  <c r="D58" i="22"/>
  <c r="F57" i="22"/>
  <c r="D57" i="22"/>
  <c r="F56" i="22"/>
  <c r="D56" i="22"/>
  <c r="F55" i="22"/>
  <c r="D55" i="22"/>
  <c r="F54" i="22"/>
  <c r="D41" i="22"/>
  <c r="F40" i="22"/>
  <c r="D40" i="22"/>
  <c r="F39" i="22"/>
  <c r="G14" i="22"/>
  <c r="B11" i="22"/>
  <c r="G4" i="20"/>
  <c r="D10" i="20"/>
  <c r="E5" i="7"/>
  <c r="F22" i="7"/>
  <c r="F23" i="7"/>
  <c r="F24" i="7"/>
  <c r="F25" i="7"/>
  <c r="F26" i="7"/>
  <c r="F27" i="7"/>
  <c r="F28" i="7"/>
  <c r="F29" i="7"/>
  <c r="F30" i="7"/>
  <c r="B4" i="7"/>
  <c r="G17" i="20"/>
  <c r="A18" i="20"/>
  <c r="A8" i="20"/>
  <c r="H28" i="20"/>
  <c r="E31" i="7"/>
  <c r="B11" i="19"/>
  <c r="F10" i="19"/>
  <c r="D46" i="19"/>
  <c r="B11" i="16"/>
  <c r="AB10" i="16"/>
  <c r="F15" i="16"/>
  <c r="F16" i="16"/>
  <c r="F17" i="16"/>
  <c r="F18" i="16"/>
  <c r="F10" i="16"/>
  <c r="E10" i="7"/>
  <c r="E9" i="7"/>
  <c r="E8" i="7"/>
  <c r="E7" i="7"/>
  <c r="E6" i="7"/>
  <c r="C4" i="7"/>
  <c r="B5" i="7"/>
  <c r="C5" i="7"/>
  <c r="D5" i="7" s="1"/>
  <c r="C6" i="7"/>
  <c r="D6" i="7"/>
  <c r="C7" i="7"/>
  <c r="D7" i="7"/>
  <c r="C8" i="7"/>
  <c r="D8" i="7"/>
  <c r="C9" i="7"/>
  <c r="D9" i="7"/>
  <c r="C10" i="7"/>
  <c r="D10" i="7"/>
  <c r="G14" i="16"/>
  <c r="G59" i="16"/>
  <c r="AD10" i="16"/>
  <c r="Y10" i="16"/>
  <c r="X10" i="16"/>
  <c r="P10" i="16"/>
  <c r="O10" i="16"/>
  <c r="J10" i="16"/>
  <c r="H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H14" i="22"/>
  <c r="P36" i="20"/>
  <c r="P40" i="20"/>
  <c r="P33" i="20"/>
  <c r="P49" i="20"/>
  <c r="D11" i="20"/>
  <c r="Q34" i="20"/>
  <c r="P29" i="20"/>
  <c r="P42" i="20"/>
  <c r="P34" i="20"/>
  <c r="P51" i="20"/>
  <c r="Q50" i="20"/>
  <c r="Q44" i="20"/>
  <c r="Q41" i="20"/>
  <c r="N41" i="20"/>
  <c r="N38" i="20"/>
  <c r="G20" i="20"/>
  <c r="D9" i="20"/>
  <c r="D23" i="20"/>
  <c r="N42" i="20"/>
  <c r="N30" i="20"/>
  <c r="L10" i="16"/>
  <c r="J10" i="23"/>
  <c r="K10" i="23"/>
  <c r="W10" i="23"/>
  <c r="N43" i="20"/>
  <c r="N34" i="20"/>
  <c r="W10" i="16"/>
  <c r="AA10" i="16"/>
  <c r="G59" i="23"/>
  <c r="Q29" i="20"/>
  <c r="V10" i="16"/>
  <c r="Z10" i="16"/>
  <c r="S10" i="16"/>
  <c r="U10" i="16"/>
  <c r="K10" i="16"/>
  <c r="Q31" i="20"/>
  <c r="P37" i="20"/>
  <c r="P47" i="20"/>
  <c r="P45" i="20"/>
  <c r="B22" i="7"/>
  <c r="E4" i="7"/>
  <c r="Q51" i="20"/>
  <c r="Q35" i="20"/>
  <c r="Q48" i="20"/>
  <c r="Q33" i="20"/>
  <c r="Q36" i="20"/>
  <c r="Q37" i="20"/>
  <c r="Q49" i="20"/>
  <c r="Q28" i="20"/>
  <c r="Q39" i="20"/>
  <c r="P32" i="20"/>
  <c r="P41" i="20"/>
  <c r="P38" i="20"/>
  <c r="P35" i="20"/>
  <c r="P43" i="20"/>
  <c r="P48" i="20"/>
  <c r="P50" i="20"/>
  <c r="P39" i="20"/>
  <c r="P31" i="20"/>
  <c r="P44" i="20"/>
  <c r="D20" i="20"/>
  <c r="P28" i="20"/>
  <c r="P30" i="20"/>
  <c r="P46" i="20"/>
  <c r="B23" i="7"/>
  <c r="I14" i="22"/>
  <c r="N40" i="20"/>
  <c r="N35" i="20"/>
  <c r="N28" i="20"/>
  <c r="G5" i="20"/>
  <c r="G6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S10" i="23"/>
  <c r="I10" i="23"/>
  <c r="T10" i="23"/>
  <c r="L10" i="23"/>
  <c r="U10" i="23"/>
  <c r="H10" i="23"/>
  <c r="N10" i="23"/>
  <c r="AA10" i="23"/>
  <c r="Q10" i="23"/>
  <c r="AC10" i="23"/>
  <c r="AB10" i="23"/>
  <c r="P10" i="23"/>
  <c r="Y10" i="23"/>
  <c r="AD10" i="23"/>
  <c r="N33" i="20"/>
  <c r="Z10" i="23"/>
  <c r="R10" i="23"/>
  <c r="V10" i="23"/>
  <c r="N29" i="20"/>
  <c r="N49" i="20"/>
  <c r="N31" i="20"/>
  <c r="Q30" i="20"/>
  <c r="Q40" i="20"/>
  <c r="Q46" i="20"/>
  <c r="D21" i="20"/>
  <c r="Q43" i="20"/>
  <c r="H14" i="16"/>
  <c r="H58" i="16"/>
  <c r="G58" i="16"/>
  <c r="G58" i="23"/>
  <c r="H14" i="23"/>
  <c r="E29" i="20"/>
  <c r="I14" i="16"/>
  <c r="H59" i="16"/>
  <c r="I58" i="16"/>
  <c r="H58" i="23"/>
  <c r="I14" i="23"/>
  <c r="H59" i="23"/>
  <c r="B24" i="7"/>
  <c r="D23" i="7"/>
  <c r="A23" i="7"/>
  <c r="E23" i="7"/>
  <c r="F29" i="20"/>
  <c r="F28" i="20"/>
  <c r="E28" i="20"/>
  <c r="Q47" i="20"/>
  <c r="I29" i="20"/>
  <c r="H29" i="20"/>
  <c r="D15" i="20"/>
  <c r="D16" i="20"/>
  <c r="I59" i="16"/>
  <c r="J14" i="16"/>
  <c r="Q42" i="20"/>
  <c r="Q38" i="20"/>
  <c r="Q32" i="20"/>
  <c r="Q45" i="20"/>
  <c r="D22" i="7"/>
  <c r="A22" i="7"/>
  <c r="E22" i="7"/>
  <c r="E10" i="16"/>
  <c r="G11" i="16"/>
  <c r="G10" i="16"/>
  <c r="M10" i="16"/>
  <c r="R10" i="16"/>
  <c r="N10" i="16"/>
  <c r="Q10" i="16"/>
  <c r="AC10" i="16"/>
  <c r="T10" i="16"/>
  <c r="I10" i="16"/>
  <c r="J58" i="16"/>
  <c r="J59" i="16"/>
  <c r="K14" i="16"/>
  <c r="G28" i="20"/>
  <c r="K28" i="20"/>
  <c r="I59" i="23"/>
  <c r="J14" i="23"/>
  <c r="J11" i="23" s="1"/>
  <c r="I58" i="23"/>
  <c r="D24" i="7"/>
  <c r="B25" i="7"/>
  <c r="A24" i="7"/>
  <c r="E24" i="7"/>
  <c r="J59" i="23"/>
  <c r="J58" i="23"/>
  <c r="K14" i="23"/>
  <c r="K58" i="16"/>
  <c r="K11" i="16"/>
  <c r="K59" i="16"/>
  <c r="L14" i="16"/>
  <c r="B26" i="7"/>
  <c r="A25" i="7"/>
  <c r="E25" i="7"/>
  <c r="D25" i="7"/>
  <c r="B27" i="7"/>
  <c r="A26" i="7"/>
  <c r="E26" i="7"/>
  <c r="D26" i="7"/>
  <c r="L14" i="23"/>
  <c r="K11" i="23"/>
  <c r="K58" i="23"/>
  <c r="K59" i="23"/>
  <c r="L11" i="16"/>
  <c r="L59" i="16"/>
  <c r="M14" i="16"/>
  <c r="L58" i="16"/>
  <c r="M59" i="16"/>
  <c r="M58" i="16"/>
  <c r="M11" i="16"/>
  <c r="N14" i="16"/>
  <c r="A27" i="7"/>
  <c r="E27" i="7"/>
  <c r="D27" i="7"/>
  <c r="B28" i="7"/>
  <c r="L58" i="23"/>
  <c r="M14" i="23"/>
  <c r="L11" i="23"/>
  <c r="L59" i="23"/>
  <c r="M11" i="23"/>
  <c r="N14" i="23"/>
  <c r="M58" i="23"/>
  <c r="M59" i="23"/>
  <c r="N58" i="16"/>
  <c r="O14" i="16"/>
  <c r="N59" i="16"/>
  <c r="N11" i="16"/>
  <c r="A28" i="7"/>
  <c r="E28" i="7"/>
  <c r="B29" i="7"/>
  <c r="D28" i="7"/>
  <c r="N58" i="23"/>
  <c r="N11" i="23"/>
  <c r="N59" i="23"/>
  <c r="O14" i="23"/>
  <c r="B30" i="7"/>
  <c r="A29" i="7"/>
  <c r="E29" i="7"/>
  <c r="D29" i="7"/>
  <c r="O58" i="16"/>
  <c r="P14" i="16"/>
  <c r="O11" i="16"/>
  <c r="O59" i="16"/>
  <c r="A30" i="7"/>
  <c r="E30" i="7"/>
  <c r="D30" i="7"/>
  <c r="O11" i="23"/>
  <c r="O59" i="23"/>
  <c r="P14" i="23"/>
  <c r="O58" i="23"/>
  <c r="P11" i="16"/>
  <c r="P59" i="16"/>
  <c r="Q14" i="16"/>
  <c r="P58" i="16"/>
  <c r="Q14" i="23"/>
  <c r="P58" i="23"/>
  <c r="P11" i="23"/>
  <c r="P59" i="23"/>
  <c r="R14" i="16"/>
  <c r="Q11" i="16"/>
  <c r="Q58" i="16"/>
  <c r="Q59" i="16"/>
  <c r="R14" i="23"/>
  <c r="Q11" i="23"/>
  <c r="Q58" i="23"/>
  <c r="Q59" i="23"/>
  <c r="R59" i="16"/>
  <c r="R11" i="16"/>
  <c r="S14" i="16"/>
  <c r="R58" i="16"/>
  <c r="S59" i="16"/>
  <c r="S58" i="16"/>
  <c r="T14" i="16"/>
  <c r="S11" i="16"/>
  <c r="R11" i="23"/>
  <c r="S14" i="23"/>
  <c r="R58" i="23"/>
  <c r="R59" i="23"/>
  <c r="S11" i="23"/>
  <c r="S58" i="23"/>
  <c r="T14" i="23"/>
  <c r="S59" i="23"/>
  <c r="T58" i="16"/>
  <c r="T11" i="16"/>
  <c r="U14" i="16"/>
  <c r="T59" i="16"/>
  <c r="T58" i="23"/>
  <c r="T11" i="23"/>
  <c r="U14" i="23"/>
  <c r="T59" i="23"/>
  <c r="V14" i="16"/>
  <c r="U58" i="16"/>
  <c r="U59" i="16"/>
  <c r="U11" i="16"/>
  <c r="V59" i="16"/>
  <c r="V11" i="16"/>
  <c r="V58" i="16"/>
  <c r="W14" i="16"/>
  <c r="U11" i="23"/>
  <c r="U58" i="23"/>
  <c r="V14" i="23"/>
  <c r="U59" i="23"/>
  <c r="V59" i="23"/>
  <c r="V11" i="23"/>
  <c r="W14" i="23"/>
  <c r="V58" i="23"/>
  <c r="W58" i="16"/>
  <c r="W11" i="16"/>
  <c r="W59" i="16"/>
  <c r="X14" i="16"/>
  <c r="W59" i="23"/>
  <c r="W11" i="23"/>
  <c r="X14" i="23"/>
  <c r="W58" i="23"/>
  <c r="X11" i="16"/>
  <c r="Y14" i="16"/>
  <c r="X59" i="16"/>
  <c r="X58" i="16"/>
  <c r="Z14" i="16"/>
  <c r="Y59" i="16"/>
  <c r="Y58" i="16"/>
  <c r="Y11" i="16"/>
  <c r="X11" i="23"/>
  <c r="X59" i="23"/>
  <c r="X58" i="23"/>
  <c r="Y14" i="23"/>
  <c r="Y58" i="23"/>
  <c r="Z14" i="23"/>
  <c r="Y59" i="23"/>
  <c r="Y11" i="23"/>
  <c r="Z59" i="16"/>
  <c r="Z58" i="16"/>
  <c r="Z11" i="16"/>
  <c r="AA14" i="16"/>
  <c r="Z58" i="23"/>
  <c r="AA14" i="23"/>
  <c r="Z11" i="23"/>
  <c r="Z59" i="23"/>
  <c r="AA58" i="16"/>
  <c r="AA11" i="16"/>
  <c r="AA59" i="16"/>
  <c r="AB14" i="16"/>
  <c r="AC14" i="16"/>
  <c r="AB11" i="16"/>
  <c r="AB59" i="16"/>
  <c r="AB58" i="16"/>
  <c r="AB14" i="23"/>
  <c r="AA59" i="23"/>
  <c r="AA11" i="23"/>
  <c r="AA58" i="23"/>
  <c r="AC24" i="16"/>
  <c r="AC20" i="16"/>
  <c r="AC19" i="16"/>
  <c r="AC40" i="16"/>
  <c r="AC16" i="16"/>
  <c r="AC43" i="16"/>
  <c r="AC42" i="16"/>
  <c r="AC55" i="16"/>
  <c r="AC39" i="16"/>
  <c r="AC18" i="16"/>
  <c r="AC47" i="16"/>
  <c r="AC26" i="16"/>
  <c r="AC48" i="16"/>
  <c r="AC50" i="16"/>
  <c r="AC51" i="16"/>
  <c r="AC29" i="16"/>
  <c r="AC49" i="16"/>
  <c r="AC54" i="16"/>
  <c r="AC32" i="16"/>
  <c r="AC33" i="16"/>
  <c r="AC23" i="16"/>
  <c r="AC38" i="16"/>
  <c r="AC59" i="16"/>
  <c r="AC58" i="16"/>
  <c r="AD14" i="16"/>
  <c r="AC27" i="16"/>
  <c r="AC46" i="16"/>
  <c r="AC52" i="16"/>
  <c r="AC37" i="16"/>
  <c r="AC35" i="16"/>
  <c r="AC57" i="16"/>
  <c r="AC34" i="16"/>
  <c r="AC21" i="16"/>
  <c r="AC56" i="16"/>
  <c r="AC31" i="16"/>
  <c r="AC17" i="16"/>
  <c r="AC30" i="16"/>
  <c r="AC25" i="16"/>
  <c r="AC22" i="16"/>
  <c r="AC28" i="16"/>
  <c r="AC41" i="16"/>
  <c r="AC36" i="16"/>
  <c r="AC11" i="16"/>
  <c r="AC45" i="16"/>
  <c r="AC53" i="16"/>
  <c r="AC44" i="16"/>
  <c r="AB11" i="23"/>
  <c r="AB59" i="23"/>
  <c r="AC14" i="23"/>
  <c r="AB58" i="23"/>
  <c r="AC53" i="23"/>
  <c r="AC18" i="23"/>
  <c r="AC16" i="23"/>
  <c r="AC24" i="23"/>
  <c r="AC22" i="23"/>
  <c r="AC48" i="23"/>
  <c r="AC30" i="23"/>
  <c r="AC20" i="23"/>
  <c r="AC21" i="23"/>
  <c r="AC58" i="23"/>
  <c r="AC29" i="23"/>
  <c r="AC38" i="23"/>
  <c r="AC32" i="23"/>
  <c r="AC44" i="23"/>
  <c r="AC49" i="23"/>
  <c r="AC55" i="23"/>
  <c r="AC35" i="23"/>
  <c r="AC17" i="23"/>
  <c r="AC43" i="23"/>
  <c r="AC28" i="23"/>
  <c r="AC51" i="23"/>
  <c r="AC33" i="23"/>
  <c r="AC34" i="23"/>
  <c r="AC59" i="23"/>
  <c r="AC27" i="23"/>
  <c r="AC23" i="23"/>
  <c r="AC25" i="23"/>
  <c r="AC31" i="23"/>
  <c r="AC50" i="23"/>
  <c r="AC11" i="23"/>
  <c r="AC56" i="23"/>
  <c r="AC39" i="23"/>
  <c r="AC57" i="23"/>
  <c r="AC36" i="23"/>
  <c r="AC41" i="23"/>
  <c r="AC47" i="23"/>
  <c r="AC45" i="23"/>
  <c r="AC19" i="23"/>
  <c r="AC46" i="23"/>
  <c r="AC40" i="23"/>
  <c r="AD14" i="23"/>
  <c r="AC26" i="23"/>
  <c r="AC37" i="23"/>
  <c r="AC42" i="23"/>
  <c r="AC52" i="23"/>
  <c r="AC54" i="23"/>
  <c r="AD56" i="16"/>
  <c r="AD27" i="16"/>
  <c r="AD20" i="16"/>
  <c r="AD24" i="16"/>
  <c r="AD39" i="16"/>
  <c r="AD38" i="16"/>
  <c r="AD18" i="16"/>
  <c r="AD55" i="16"/>
  <c r="AD16" i="16"/>
  <c r="AD11" i="16"/>
  <c r="AD35" i="16"/>
  <c r="AD36" i="16"/>
  <c r="AD33" i="16"/>
  <c r="AD42" i="16"/>
  <c r="AD54" i="16"/>
  <c r="AD41" i="16"/>
  <c r="AD34" i="16"/>
  <c r="AD31" i="16"/>
  <c r="AD51" i="16"/>
  <c r="AD29" i="16"/>
  <c r="AD45" i="16"/>
  <c r="AD59" i="16"/>
  <c r="AD53" i="16"/>
  <c r="AD44" i="16"/>
  <c r="AD30" i="16"/>
  <c r="AD37" i="16"/>
  <c r="AD17" i="16"/>
  <c r="AD19" i="16"/>
  <c r="AD28" i="16"/>
  <c r="AD58" i="16"/>
  <c r="AD23" i="16"/>
  <c r="AD57" i="16"/>
  <c r="AD21" i="16"/>
  <c r="AD26" i="16"/>
  <c r="AD46" i="16"/>
  <c r="AD50" i="16"/>
  <c r="AD40" i="16"/>
  <c r="AD47" i="16"/>
  <c r="AD32" i="16"/>
  <c r="AD25" i="16"/>
  <c r="AD52" i="16"/>
  <c r="AD43" i="16"/>
  <c r="AD22" i="16"/>
  <c r="AD48" i="16"/>
  <c r="AD49" i="16"/>
  <c r="AD40" i="23"/>
  <c r="AD25" i="23"/>
  <c r="AD55" i="23"/>
  <c r="AD38" i="23"/>
  <c r="AD24" i="23"/>
  <c r="AD19" i="23"/>
  <c r="AD29" i="23"/>
  <c r="AD57" i="23"/>
  <c r="AD43" i="23"/>
  <c r="AD31" i="23"/>
  <c r="AD54" i="23"/>
  <c r="AD20" i="23"/>
  <c r="AD11" i="23"/>
  <c r="AD17" i="23"/>
  <c r="AD56" i="23"/>
  <c r="AD51" i="23"/>
  <c r="AD28" i="23"/>
  <c r="AD36" i="23"/>
  <c r="AD47" i="23"/>
  <c r="AD16" i="23"/>
  <c r="AD37" i="23"/>
  <c r="AD34" i="23"/>
  <c r="AD21" i="23"/>
  <c r="AD46" i="23"/>
  <c r="AD32" i="23"/>
  <c r="AD26" i="23"/>
  <c r="AD44" i="23"/>
  <c r="AD23" i="23"/>
  <c r="AD39" i="23"/>
  <c r="AD27" i="23"/>
  <c r="AD18" i="23"/>
  <c r="AD41" i="23"/>
  <c r="AD50" i="23"/>
  <c r="AD33" i="23"/>
  <c r="AD52" i="23"/>
  <c r="AD49" i="23"/>
  <c r="AD48" i="23"/>
  <c r="AD22" i="23"/>
  <c r="AD35" i="23"/>
  <c r="AD53" i="23"/>
  <c r="AD59" i="23"/>
  <c r="AD30" i="23"/>
  <c r="AD58" i="23"/>
  <c r="AD45" i="23"/>
  <c r="AD42" i="23"/>
  <c r="K29" i="20"/>
  <c r="G29" i="20"/>
  <c r="E30" i="20"/>
  <c r="B31" i="20"/>
  <c r="I30" i="20"/>
  <c r="H30" i="20"/>
  <c r="F30" i="20"/>
  <c r="D4" i="7"/>
  <c r="K30" i="20"/>
  <c r="G30" i="20"/>
  <c r="F31" i="20"/>
  <c r="E31" i="20"/>
  <c r="B32" i="20"/>
  <c r="I31" i="20"/>
  <c r="H31" i="20"/>
  <c r="I11" i="19"/>
  <c r="E32" i="20"/>
  <c r="F32" i="20"/>
  <c r="B33" i="20"/>
  <c r="I32" i="20"/>
  <c r="H32" i="20"/>
  <c r="G31" i="20"/>
  <c r="K31" i="20"/>
  <c r="J11" i="19"/>
  <c r="I33" i="20"/>
  <c r="H33" i="20"/>
  <c r="E33" i="20"/>
  <c r="B34" i="20"/>
  <c r="F33" i="20"/>
  <c r="G32" i="20"/>
  <c r="K32" i="20"/>
  <c r="L14" i="19"/>
  <c r="M14" i="19"/>
  <c r="L11" i="19"/>
  <c r="K11" i="19"/>
  <c r="I34" i="20"/>
  <c r="H34" i="20"/>
  <c r="E34" i="20"/>
  <c r="B35" i="20"/>
  <c r="F34" i="20"/>
  <c r="K33" i="20"/>
  <c r="G33" i="20"/>
  <c r="G34" i="20"/>
  <c r="K34" i="20"/>
  <c r="B36" i="20"/>
  <c r="F35" i="20"/>
  <c r="I35" i="20"/>
  <c r="H35" i="20"/>
  <c r="E35" i="20"/>
  <c r="I36" i="20"/>
  <c r="H36" i="20"/>
  <c r="F36" i="20"/>
  <c r="B37" i="20"/>
  <c r="E36" i="20"/>
  <c r="K35" i="20"/>
  <c r="G35" i="20"/>
  <c r="G36" i="20"/>
  <c r="K36" i="20"/>
  <c r="I37" i="20"/>
  <c r="H37" i="20"/>
  <c r="E37" i="20"/>
  <c r="F37" i="20"/>
  <c r="B38" i="20"/>
  <c r="G37" i="20"/>
  <c r="K37" i="20"/>
  <c r="B39" i="20"/>
  <c r="I38" i="20"/>
  <c r="H38" i="20"/>
  <c r="E38" i="20"/>
  <c r="F38" i="20"/>
  <c r="E39" i="20"/>
  <c r="B40" i="20"/>
  <c r="I39" i="20"/>
  <c r="H39" i="20"/>
  <c r="F39" i="20"/>
  <c r="G3" i="20"/>
  <c r="G19" i="20"/>
  <c r="K38" i="20"/>
  <c r="G38" i="20"/>
  <c r="I40" i="20"/>
  <c r="H40" i="20"/>
  <c r="F40" i="20"/>
  <c r="B41" i="20"/>
  <c r="E40" i="20"/>
  <c r="K39" i="20"/>
  <c r="G39" i="20"/>
  <c r="B42" i="20"/>
  <c r="F41" i="20"/>
  <c r="E41" i="20"/>
  <c r="I41" i="20"/>
  <c r="H41" i="20"/>
  <c r="K40" i="20"/>
  <c r="G40" i="20"/>
  <c r="G41" i="20"/>
  <c r="K41" i="20"/>
  <c r="I42" i="20"/>
  <c r="H42" i="20"/>
  <c r="F42" i="20"/>
  <c r="B43" i="20"/>
  <c r="E42" i="20"/>
  <c r="K42" i="20"/>
  <c r="G42" i="20"/>
  <c r="E43" i="20"/>
  <c r="F43" i="20"/>
  <c r="B44" i="20"/>
  <c r="I43" i="20"/>
  <c r="H43" i="20"/>
  <c r="F44" i="20"/>
  <c r="B45" i="20"/>
  <c r="I44" i="20"/>
  <c r="H44" i="20"/>
  <c r="E44" i="20"/>
  <c r="K43" i="20"/>
  <c r="G43" i="20"/>
  <c r="K44" i="20"/>
  <c r="G44" i="20"/>
  <c r="F45" i="20"/>
  <c r="I45" i="20"/>
  <c r="H45" i="20"/>
  <c r="B46" i="20"/>
  <c r="E45" i="20"/>
  <c r="K45" i="20"/>
  <c r="G45" i="20"/>
  <c r="I46" i="20"/>
  <c r="H46" i="20"/>
  <c r="F46" i="20"/>
  <c r="B47" i="20"/>
  <c r="E46" i="20"/>
  <c r="K46" i="20"/>
  <c r="G46" i="20"/>
  <c r="F47" i="20"/>
  <c r="E47" i="20"/>
  <c r="I47" i="20"/>
  <c r="H47" i="20"/>
  <c r="B48" i="20"/>
  <c r="E48" i="20"/>
  <c r="F48" i="20"/>
  <c r="I48" i="20"/>
  <c r="H48" i="20"/>
  <c r="B49" i="20"/>
  <c r="K47" i="20"/>
  <c r="G47" i="20"/>
  <c r="I49" i="20"/>
  <c r="H49" i="20"/>
  <c r="B50" i="20"/>
  <c r="E49" i="20"/>
  <c r="F49" i="20"/>
  <c r="G48" i="20"/>
  <c r="K48" i="20"/>
  <c r="K49" i="20"/>
  <c r="G49" i="20"/>
  <c r="I50" i="20"/>
  <c r="H50" i="20"/>
  <c r="E50" i="20"/>
  <c r="F50" i="20"/>
  <c r="B51" i="20"/>
  <c r="K50" i="20"/>
  <c r="G50" i="20"/>
  <c r="I51" i="20"/>
  <c r="H51" i="20"/>
  <c r="E51" i="20"/>
  <c r="F51" i="20"/>
  <c r="G51" i="20"/>
  <c r="K51" i="20"/>
  <c r="P10" i="19"/>
  <c r="J14" i="22"/>
  <c r="K14" i="22"/>
  <c r="L14" i="22"/>
  <c r="O51" i="20"/>
  <c r="X10" i="19"/>
  <c r="M10" i="19"/>
  <c r="Z10" i="19"/>
  <c r="S10" i="19"/>
  <c r="G10" i="19"/>
  <c r="AA10" i="19"/>
  <c r="U10" i="19"/>
  <c r="N10" i="19"/>
  <c r="H10" i="19"/>
  <c r="I10" i="19"/>
  <c r="J10" i="19"/>
  <c r="R10" i="19"/>
  <c r="Y10" i="19"/>
  <c r="V10" i="19"/>
  <c r="Q10" i="19"/>
  <c r="K10" i="19"/>
  <c r="AB10" i="19"/>
  <c r="W10" i="19"/>
  <c r="T10" i="19"/>
  <c r="O10" i="19"/>
  <c r="L10" i="19"/>
  <c r="E10" i="19"/>
  <c r="G11" i="19"/>
  <c r="M11" i="19"/>
  <c r="N14" i="19"/>
  <c r="O28" i="20"/>
  <c r="D24" i="20"/>
  <c r="D19" i="20"/>
  <c r="E10" i="22"/>
  <c r="F11" i="22"/>
  <c r="H10" i="22"/>
  <c r="O33" i="20"/>
  <c r="O30" i="20"/>
  <c r="O36" i="20"/>
  <c r="O50" i="20"/>
  <c r="I10" i="22"/>
  <c r="O44" i="20"/>
  <c r="O40" i="20"/>
  <c r="G10" i="22"/>
  <c r="O43" i="20"/>
  <c r="O49" i="20"/>
  <c r="O37" i="20"/>
  <c r="O47" i="20"/>
  <c r="O46" i="20"/>
  <c r="F10" i="22"/>
  <c r="O31" i="20"/>
  <c r="O29" i="20"/>
  <c r="O42" i="20"/>
  <c r="O35" i="20"/>
  <c r="O38" i="20"/>
  <c r="O41" i="20"/>
  <c r="O39" i="20"/>
  <c r="O32" i="20"/>
  <c r="O48" i="20"/>
  <c r="O45" i="20"/>
  <c r="O34" i="20"/>
  <c r="H11" i="16"/>
  <c r="H11" i="23"/>
  <c r="F11" i="23"/>
  <c r="G11" i="23"/>
  <c r="I11" i="23"/>
  <c r="D11" i="16"/>
  <c r="D13" i="16"/>
  <c r="D11" i="23"/>
  <c r="D13" i="23"/>
  <c r="F11" i="16"/>
  <c r="J11" i="16"/>
  <c r="I11" i="16"/>
  <c r="L28" i="22"/>
  <c r="L27" i="22"/>
  <c r="L58" i="22"/>
  <c r="L11" i="22"/>
  <c r="M14" i="22"/>
  <c r="L59" i="22"/>
  <c r="H11" i="19"/>
  <c r="F11" i="19"/>
  <c r="H11" i="22"/>
  <c r="O14" i="19"/>
  <c r="N11" i="19"/>
  <c r="I11" i="22"/>
  <c r="J11" i="22"/>
  <c r="G11" i="22"/>
  <c r="K11" i="22"/>
  <c r="F13" i="16"/>
  <c r="M12" i="16"/>
  <c r="F13" i="23"/>
  <c r="W12" i="23"/>
  <c r="K10" i="22"/>
  <c r="J10" i="22"/>
  <c r="L10" i="22"/>
  <c r="M11" i="22"/>
  <c r="N14" i="22"/>
  <c r="M28" i="22"/>
  <c r="M27" i="22"/>
  <c r="M59" i="22"/>
  <c r="M58" i="22"/>
  <c r="G12" i="16"/>
  <c r="R12" i="16"/>
  <c r="Y12" i="16"/>
  <c r="AD12" i="23"/>
  <c r="P12" i="16"/>
  <c r="S12" i="16"/>
  <c r="O11" i="19"/>
  <c r="P14" i="19"/>
  <c r="U12" i="16"/>
  <c r="F12" i="16"/>
  <c r="V12" i="23"/>
  <c r="K12" i="16"/>
  <c r="AC12" i="16"/>
  <c r="V12" i="16"/>
  <c r="X12" i="23"/>
  <c r="T12" i="16"/>
  <c r="Z12" i="23"/>
  <c r="J12" i="16"/>
  <c r="AD12" i="16"/>
  <c r="AB12" i="16"/>
  <c r="I12" i="16"/>
  <c r="W12" i="16"/>
  <c r="T12" i="23"/>
  <c r="Y12" i="23"/>
  <c r="Q12" i="16"/>
  <c r="H12" i="16"/>
  <c r="L12" i="16"/>
  <c r="O12" i="16"/>
  <c r="AA12" i="16"/>
  <c r="AA12" i="23"/>
  <c r="J12" i="23"/>
  <c r="F12" i="23"/>
  <c r="K12" i="23"/>
  <c r="AC12" i="23"/>
  <c r="R12" i="23"/>
  <c r="Z12" i="16"/>
  <c r="N12" i="16"/>
  <c r="H12" i="23"/>
  <c r="L12" i="23"/>
  <c r="S12" i="23"/>
  <c r="P12" i="23"/>
  <c r="O12" i="23"/>
  <c r="U12" i="23"/>
  <c r="I12" i="23"/>
  <c r="N12" i="23"/>
  <c r="Q12" i="23"/>
  <c r="M12" i="23"/>
  <c r="G12" i="23"/>
  <c r="AB12" i="23"/>
  <c r="X12" i="16"/>
  <c r="M10" i="22"/>
  <c r="O14" i="22"/>
  <c r="N59" i="22"/>
  <c r="N27" i="22"/>
  <c r="N28" i="22"/>
  <c r="N11" i="22"/>
  <c r="N58" i="22"/>
  <c r="Q14" i="19"/>
  <c r="P11" i="19"/>
  <c r="N10" i="22"/>
  <c r="O11" i="22"/>
  <c r="O59" i="22"/>
  <c r="O28" i="22"/>
  <c r="O27" i="22"/>
  <c r="P14" i="22"/>
  <c r="O58" i="22"/>
  <c r="Q11" i="19"/>
  <c r="R14" i="19"/>
  <c r="P28" i="22"/>
  <c r="P27" i="22"/>
  <c r="P11" i="22"/>
  <c r="P58" i="22"/>
  <c r="Q14" i="22"/>
  <c r="P59" i="22"/>
  <c r="O10" i="22"/>
  <c r="R11" i="19"/>
  <c r="S14" i="19"/>
  <c r="P10" i="22"/>
  <c r="Q11" i="22"/>
  <c r="Q58" i="22"/>
  <c r="Q27" i="22"/>
  <c r="R14" i="22"/>
  <c r="Q59" i="22"/>
  <c r="Q28" i="22"/>
  <c r="T14" i="19"/>
  <c r="S11" i="19"/>
  <c r="R58" i="22"/>
  <c r="R59" i="22"/>
  <c r="R28" i="22"/>
  <c r="R27" i="22"/>
  <c r="R10" i="22"/>
  <c r="R11" i="22"/>
  <c r="S14" i="22"/>
  <c r="Q10" i="22"/>
  <c r="T11" i="19"/>
  <c r="U14" i="19"/>
  <c r="S59" i="22"/>
  <c r="S11" i="22"/>
  <c r="S28" i="22"/>
  <c r="S27" i="22"/>
  <c r="T14" i="22"/>
  <c r="S58" i="22"/>
  <c r="S10" i="22" s="1"/>
  <c r="V14" i="19"/>
  <c r="U11" i="19"/>
  <c r="T28" i="22"/>
  <c r="T27" i="22"/>
  <c r="U14" i="22"/>
  <c r="T58" i="22"/>
  <c r="T59" i="22"/>
  <c r="T11" i="22"/>
  <c r="V11" i="19"/>
  <c r="W14" i="19"/>
  <c r="U59" i="22"/>
  <c r="V14" i="22"/>
  <c r="U58" i="22"/>
  <c r="U11" i="22"/>
  <c r="U28" i="22"/>
  <c r="U27" i="22"/>
  <c r="W11" i="19"/>
  <c r="X14" i="19"/>
  <c r="U10" i="22"/>
  <c r="V58" i="22"/>
  <c r="W14" i="22"/>
  <c r="V27" i="22"/>
  <c r="V28" i="22"/>
  <c r="V11" i="22"/>
  <c r="V59" i="22"/>
  <c r="X11" i="19"/>
  <c r="Y14" i="19"/>
  <c r="V10" i="22"/>
  <c r="W11" i="22"/>
  <c r="W58" i="22"/>
  <c r="W28" i="22"/>
  <c r="W27" i="22"/>
  <c r="W59" i="22"/>
  <c r="W10" i="22" s="1"/>
  <c r="X14" i="22"/>
  <c r="Y11" i="19"/>
  <c r="Z14" i="19"/>
  <c r="X28" i="22"/>
  <c r="X27" i="22"/>
  <c r="X11" i="22"/>
  <c r="X58" i="22"/>
  <c r="X59" i="22"/>
  <c r="Y14" i="22"/>
  <c r="AA14" i="19"/>
  <c r="Z11" i="19"/>
  <c r="Z14" i="22"/>
  <c r="Y58" i="22"/>
  <c r="Y11" i="22"/>
  <c r="Y28" i="22"/>
  <c r="Y59" i="22"/>
  <c r="Y27" i="22"/>
  <c r="X10" i="22"/>
  <c r="AA11" i="19"/>
  <c r="AB14" i="19"/>
  <c r="Y10" i="22"/>
  <c r="Z59" i="22"/>
  <c r="AA14" i="22"/>
  <c r="Z28" i="22"/>
  <c r="Z27" i="22"/>
  <c r="Z58" i="22"/>
  <c r="Z11" i="22"/>
  <c r="AC14" i="19"/>
  <c r="AB11" i="19"/>
  <c r="AA58" i="22"/>
  <c r="AB14" i="22"/>
  <c r="AA28" i="22"/>
  <c r="AA27" i="22"/>
  <c r="AA11" i="22"/>
  <c r="AA59" i="22"/>
  <c r="AA10" i="22" s="1"/>
  <c r="Z10" i="22"/>
  <c r="AC36" i="19"/>
  <c r="AC11" i="19"/>
  <c r="AC33" i="19"/>
  <c r="AC42" i="19"/>
  <c r="AC17" i="19"/>
  <c r="AC41" i="19"/>
  <c r="AC30" i="19"/>
  <c r="AC23" i="19"/>
  <c r="AC19" i="19"/>
  <c r="AC37" i="19"/>
  <c r="AC43" i="19"/>
  <c r="AC29" i="19"/>
  <c r="AC35" i="19"/>
  <c r="AC20" i="19"/>
  <c r="AC32" i="19"/>
  <c r="AC44" i="19"/>
  <c r="AC34" i="19"/>
  <c r="AC38" i="19"/>
  <c r="AC31" i="19"/>
  <c r="AC22" i="19"/>
  <c r="AC21" i="19"/>
  <c r="AD14" i="19"/>
  <c r="AC45" i="19"/>
  <c r="AC39" i="19"/>
  <c r="AB28" i="22"/>
  <c r="AB27" i="22"/>
  <c r="AB58" i="22"/>
  <c r="AB59" i="22"/>
  <c r="AB11" i="22"/>
  <c r="AC14" i="22"/>
  <c r="AD17" i="19"/>
  <c r="AD23" i="19"/>
  <c r="AD38" i="19"/>
  <c r="AD11" i="19"/>
  <c r="AD35" i="19"/>
  <c r="AD20" i="19"/>
  <c r="AD43" i="19"/>
  <c r="AD32" i="19"/>
  <c r="AD21" i="19"/>
  <c r="AD39" i="19"/>
  <c r="AD42" i="19"/>
  <c r="AD41" i="19"/>
  <c r="AD29" i="19"/>
  <c r="AD22" i="19"/>
  <c r="AD33" i="19"/>
  <c r="AD19" i="19"/>
  <c r="AD30" i="19"/>
  <c r="AD37" i="19"/>
  <c r="AD36" i="19"/>
  <c r="AD45" i="19"/>
  <c r="AD31" i="19"/>
  <c r="AD34" i="19"/>
  <c r="AD44" i="19"/>
  <c r="AC51" i="22"/>
  <c r="AC43" i="22"/>
  <c r="AC45" i="22"/>
  <c r="AD14" i="22"/>
  <c r="AC56" i="22"/>
  <c r="AC48" i="22"/>
  <c r="AC57" i="22"/>
  <c r="AC47" i="22"/>
  <c r="AC11" i="22"/>
  <c r="AC46" i="22"/>
  <c r="AC58" i="22"/>
  <c r="AC40" i="22"/>
  <c r="AC35" i="22"/>
  <c r="AC36" i="22"/>
  <c r="AC33" i="22"/>
  <c r="AC31" i="22"/>
  <c r="AC29" i="22"/>
  <c r="AC25" i="22"/>
  <c r="AC23" i="22"/>
  <c r="AC21" i="22"/>
  <c r="AC19" i="22"/>
  <c r="AC17" i="22"/>
  <c r="AC15" i="22"/>
  <c r="AC37" i="22"/>
  <c r="AC28" i="22"/>
  <c r="AC24" i="22"/>
  <c r="AC20" i="22"/>
  <c r="AC16" i="22"/>
  <c r="AC54" i="22"/>
  <c r="AC53" i="22"/>
  <c r="AC52" i="22"/>
  <c r="AC34" i="22"/>
  <c r="AC27" i="22"/>
  <c r="AC39" i="22"/>
  <c r="AC44" i="22"/>
  <c r="AC41" i="22"/>
  <c r="AC32" i="22"/>
  <c r="AC26" i="22"/>
  <c r="AC22" i="22"/>
  <c r="AC18" i="22"/>
  <c r="AC59" i="22"/>
  <c r="AC38" i="22"/>
  <c r="AC55" i="22"/>
  <c r="AC30" i="22"/>
  <c r="AC49" i="22"/>
  <c r="AC42" i="22"/>
  <c r="AC50" i="22"/>
  <c r="AB10" i="22"/>
  <c r="AD36" i="22"/>
  <c r="AD33" i="22"/>
  <c r="AD31" i="22"/>
  <c r="AD29" i="22"/>
  <c r="AD25" i="22"/>
  <c r="AD23" i="22"/>
  <c r="AD21" i="22"/>
  <c r="AD19" i="22"/>
  <c r="AD17" i="22"/>
  <c r="AD15" i="22"/>
  <c r="AD39" i="22"/>
  <c r="AD38" i="22"/>
  <c r="AD47" i="22"/>
  <c r="AD49" i="22"/>
  <c r="AD52" i="22"/>
  <c r="AD58" i="22"/>
  <c r="AD45" i="22"/>
  <c r="AD59" i="22"/>
  <c r="AD41" i="22"/>
  <c r="AD48" i="22"/>
  <c r="AD35" i="22"/>
  <c r="AD54" i="22"/>
  <c r="AD32" i="22"/>
  <c r="AD27" i="22"/>
  <c r="AD51" i="22"/>
  <c r="AD37" i="22"/>
  <c r="AD34" i="22"/>
  <c r="AD30" i="22"/>
  <c r="AD28" i="22"/>
  <c r="AD26" i="22"/>
  <c r="AD11" i="22"/>
  <c r="AD56" i="22"/>
  <c r="AD44" i="22"/>
  <c r="AD22" i="22"/>
  <c r="AD18" i="22"/>
  <c r="AD57" i="22"/>
  <c r="AD53" i="22"/>
  <c r="AD42" i="22"/>
  <c r="AD55" i="22"/>
  <c r="AD50" i="22"/>
  <c r="AD40" i="22"/>
  <c r="AD24" i="22"/>
  <c r="AD20" i="22"/>
  <c r="AD16" i="22"/>
  <c r="AD46" i="22"/>
  <c r="AD43" i="22"/>
  <c r="AC10" i="22"/>
  <c r="AD10" i="22"/>
  <c r="AD27" i="19" l="1"/>
  <c r="AD26" i="19"/>
  <c r="AD25" i="19"/>
  <c r="AD24" i="19"/>
  <c r="AD10" i="19" s="1"/>
  <c r="AC27" i="19"/>
  <c r="AC26" i="19"/>
  <c r="AC25" i="19"/>
  <c r="AC24" i="19"/>
  <c r="AC10" i="19" s="1"/>
  <c r="D11" i="19" s="1"/>
  <c r="T10" i="22"/>
  <c r="D11" i="22" s="1"/>
  <c r="L36" i="20"/>
  <c r="L45" i="20"/>
  <c r="L32" i="20"/>
  <c r="L47" i="20"/>
  <c r="L50" i="20"/>
  <c r="L44" i="20"/>
  <c r="L39" i="20"/>
  <c r="L51" i="20"/>
  <c r="M51" i="20" s="1"/>
  <c r="L37" i="20"/>
  <c r="M37" i="20" s="1"/>
  <c r="L48" i="20"/>
  <c r="M48" i="20" s="1"/>
  <c r="L46" i="20"/>
  <c r="M46" i="20" s="1"/>
  <c r="L33" i="20"/>
  <c r="M33" i="20" s="1"/>
  <c r="L29" i="20"/>
  <c r="L49" i="20"/>
  <c r="M49" i="20" s="1"/>
  <c r="L31" i="20"/>
  <c r="L41" i="20"/>
  <c r="L38" i="20"/>
  <c r="M38" i="20" s="1"/>
  <c r="L42" i="20"/>
  <c r="M42" i="20" s="1"/>
  <c r="L30" i="20"/>
  <c r="M30" i="20" s="1"/>
  <c r="L43" i="20"/>
  <c r="M43" i="20" s="1"/>
  <c r="L34" i="20"/>
  <c r="M34" i="20" s="1"/>
  <c r="L40" i="20"/>
  <c r="M40" i="20" s="1"/>
  <c r="L35" i="20"/>
  <c r="M35" i="20" s="1"/>
  <c r="L28" i="20"/>
  <c r="M28" i="20" s="1"/>
  <c r="M41" i="20" l="1"/>
  <c r="M31" i="20"/>
  <c r="M29" i="20"/>
  <c r="M39" i="20"/>
  <c r="M44" i="20"/>
  <c r="M50" i="20"/>
  <c r="M47" i="20"/>
  <c r="M32" i="20"/>
  <c r="M45" i="20"/>
  <c r="M36" i="20"/>
  <c r="D13" i="22"/>
  <c r="F13" i="22"/>
  <c r="W12" i="22"/>
  <c r="F12" i="22"/>
  <c r="L12" i="22"/>
  <c r="S12" i="22"/>
  <c r="P12" i="22"/>
  <c r="AB12" i="22"/>
  <c r="J12" i="22"/>
  <c r="I12" i="22"/>
  <c r="T12" i="22"/>
  <c r="R12" i="22"/>
  <c r="H12" i="22"/>
  <c r="G12" i="22"/>
  <c r="X12" i="22"/>
  <c r="K12" i="22"/>
  <c r="V12" i="22"/>
  <c r="N12" i="22"/>
  <c r="Z12" i="22"/>
  <c r="U12" i="22"/>
  <c r="AD12" i="22"/>
  <c r="AA12" i="22"/>
  <c r="M12" i="22"/>
  <c r="Y12" i="22"/>
  <c r="Q12" i="22"/>
  <c r="AC12" i="22"/>
  <c r="O12" i="22"/>
  <c r="D13" i="19"/>
  <c r="P12" i="19"/>
  <c r="F13" i="19"/>
  <c r="AA12" i="19"/>
  <c r="R12" i="19"/>
  <c r="H12" i="19"/>
  <c r="K12" i="19"/>
  <c r="S12" i="19"/>
  <c r="I12" i="19"/>
  <c r="M12" i="19"/>
  <c r="Q12" i="19"/>
  <c r="G12" i="19"/>
  <c r="Z12" i="19"/>
  <c r="J12" i="19"/>
  <c r="L12" i="19"/>
  <c r="N12" i="19"/>
  <c r="T12" i="19"/>
  <c r="O12" i="19"/>
  <c r="Y12" i="19"/>
  <c r="F12" i="19"/>
  <c r="U12" i="19"/>
  <c r="X12" i="19"/>
  <c r="AB12" i="19"/>
  <c r="AC12" i="19"/>
  <c r="V12" i="19"/>
  <c r="W12" i="19"/>
  <c r="AD12" i="19"/>
  <c r="D12" i="20" l="1"/>
  <c r="D22" i="20"/>
  <c r="G9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D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E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F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G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5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6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<sst xmlns="http://schemas.openxmlformats.org/spreadsheetml/2006/main" count="602" uniqueCount="186">
  <si>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</si>
  <si>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</si>
  <si>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</si>
  <si>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</si>
  <si>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</si>
  <si>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</si>
  <si>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</si>
  <si>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</si>
  <si>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</si>
  <si>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</si>
  <si>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</si>
  <si>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</si>
  <si>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</si>
  <si>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Unallocated stories</t>
  </si>
  <si>
    <t>Product Backlog</t>
  </si>
  <si>
    <t xml:space="preserve"> </t>
  </si>
  <si>
    <t>Story ID</t>
  </si>
  <si>
    <t>Section</t>
  </si>
  <si>
    <t>Story name/description</t>
  </si>
  <si>
    <t>Priority</t>
  </si>
  <si>
    <t>User Story</t>
  </si>
  <si>
    <t>User Type</t>
  </si>
  <si>
    <t>Site general</t>
  </si>
  <si>
    <t xml:space="preserve">En tant que propriétaire, je veux que le site 
soit accessible via un téléphone et une tablette
</t>
  </si>
  <si>
    <t>Planned</t>
  </si>
  <si>
    <t>C</t>
  </si>
  <si>
    <t>visiteur</t>
  </si>
  <si>
    <t>Page Accueil</t>
  </si>
  <si>
    <t>En tant que visiteur, je peux avoir accès a une page accueil présentant le site et ses options</t>
  </si>
  <si>
    <t>Done</t>
  </si>
  <si>
    <t>M</t>
  </si>
  <si>
    <t xml:space="preserve">En tant que visiteur, je peux avoir accès a une page accueil présentant les offres en cours et/ou celle mises en valeurs(4-12) </t>
  </si>
  <si>
    <t>S</t>
  </si>
  <si>
    <t>En tant que visiteur, je peux avoir accès a une page accueil présentant Le Lord Stampee(biographie, etc)</t>
  </si>
  <si>
    <t>En tant que visiteur, je peux avoir accès a une page accueil affichant des actualités</t>
  </si>
  <si>
    <t>En tant que visiteur, je peux avoir accès a une page accueil avec navigation donnant a acces a une rublique d'aide</t>
  </si>
  <si>
    <t>En tant que visiteur, je peux avoir accès a une page accueil avec navigation donnant a un formulaire de contact</t>
  </si>
  <si>
    <t>Interface Admin (tout usager )</t>
  </si>
  <si>
    <t>En tant que membre, je peux m'inscrire et me créer un profil</t>
  </si>
  <si>
    <t>usager(tout)</t>
  </si>
  <si>
    <t>En tant que membre, je peux modifier mon profil</t>
  </si>
  <si>
    <t>En tant que membre, je peux effacer mon profil</t>
  </si>
  <si>
    <t>Ongoing</t>
  </si>
  <si>
    <t>Interface Admin (usager administrateur)</t>
  </si>
  <si>
    <t>En tant que administrateur, je peux définir des encheres comme 'Coups de coeur de Lord'</t>
  </si>
  <si>
    <t>usager(acheteur)</t>
  </si>
  <si>
    <t>En tant que administrateur, je peux ajouter des actualités sur le site</t>
  </si>
  <si>
    <t>En tant que administrateur, je peux modifier et effacer des actualités sur le site</t>
  </si>
  <si>
    <t>En tant que administrateur, je peux visualiser tout les utilisateurs</t>
  </si>
  <si>
    <t>En tant que administrateur, je peux modifier(ajouter, éditer, supprimer) les utilisateurs</t>
  </si>
  <si>
    <t>Interface Admin(usager acheteur)</t>
  </si>
  <si>
    <t>En tant que membre(acheteur), je peux  avoir accès mon historique d'achats</t>
  </si>
  <si>
    <t>Removed</t>
  </si>
  <si>
    <t>En tant que membre(acheteur), je peux voir l'état des items ou j'ai placé une offre( dans la section « Profil »)</t>
  </si>
  <si>
    <t>En tant que membre(acheteur), je peux être avisé du status d'une enchere (nouvelle offre surpassant la mienne, enchère qui se termine bientot)</t>
  </si>
  <si>
    <t>En tant que membre(acheteur), je peux être avisé lorsqu'une enchère est terminée(  perdue</t>
  </si>
  <si>
    <t>En tant que membre(acheteur), je peux être avisé lorsqu'une enchère est remportée, de facon avoir le status de l'envoie du timbre</t>
  </si>
  <si>
    <t>En tant que membre(acheteur), je peux faire le paiement</t>
  </si>
  <si>
    <t>En tant que membre(acheteur), je peux recevoir une facture</t>
  </si>
  <si>
    <t>En tant que membre(acheteur), je peux Noter l'item et la transaction lorsque celle ci est complétée</t>
  </si>
  <si>
    <t>En tant que administrateur, je peux ajouter 
 une enchère</t>
  </si>
  <si>
    <t>Administrateur</t>
  </si>
  <si>
    <t>En tant que administrateur,  je peux avoir acces a l'historique de facturation</t>
  </si>
  <si>
    <t>En tant que membre ou administrateur,  je peux avoir acces mes encheres (présente et passées)</t>
  </si>
  <si>
    <t>En tant que administrateur,  je peux modifier une enchère</t>
  </si>
  <si>
    <t>En tant que administrateur,  je peux supprimer une enchère</t>
  </si>
  <si>
    <t>En tant que administrateur, je peux  avoir accès mon historique de vente</t>
  </si>
  <si>
    <t>En tant que administrateur/utilisateur, je peux voir l'état des items ou des utilisateur ont placé une offre( dans l'admin)</t>
  </si>
  <si>
    <t>En tant que administrateur, je peux être avisé du status d'une enchere (nouvelle offre , enchère qui se termine bientot, enchere terminée)</t>
  </si>
  <si>
    <t>En tant que administrateur, je peux être avisé lorsqu'une enchère est remportée, de facon a shipper le timbre</t>
  </si>
  <si>
    <t xml:space="preserve">En tant que administrateur,  je peux modifier le status de la vente (shippé, complet, etc) </t>
  </si>
  <si>
    <t>En tant que administrateur,  je peux Noter l'item et la transaction lorsque celle ci est complétée</t>
  </si>
  <si>
    <t>Interface Catalogue</t>
  </si>
  <si>
    <t>En tant que membre, je peux filtrer les enchères pour voir mes favoris</t>
  </si>
  <si>
    <t>En tant que membre, je peux filtrer les enchères pour voir Les Coups de coeur de Lord</t>
  </si>
  <si>
    <t>En tant que membre, je peux trier et parcourir les encheres selon leur status (actives ou archivées, ou toutes)</t>
  </si>
  <si>
    <t>En tant que membre, je peux filtrer les encheres selon plusieurs criteres( pays d’origine, de l’année de publication, de la condition, etc)</t>
  </si>
  <si>
    <t>Interface Fiche et/ou vignette</t>
  </si>
  <si>
    <t>En tant que membre, je veux mettre une enchere dans mes favoris</t>
  </si>
  <si>
    <t xml:space="preserve">En tant que membre je peux placer des offres, à répétition sur une ou des enchères. </t>
  </si>
  <si>
    <t>En tant que membre, je peux voir les timbres de proche</t>
  </si>
  <si>
    <t>En tant que membre, je peux commenter une enchere</t>
  </si>
  <si>
    <t>En tant que membre, je peux voir des information sur un timbre (entité « Timbre »)</t>
  </si>
  <si>
    <t>En tant que membre, je peux voir des information sur les encheres en cours sur un  timbre (entité « Enchère »)</t>
  </si>
  <si>
    <t>En tant que membre, le peux placer une ou plusieurs offres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</si>
  <si>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</si>
  <si>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</si>
  <si>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</si>
  <si>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</si>
  <si>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</si>
  <si>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</si>
  <si>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</si>
  <si>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</si>
  <si>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</si>
  <si>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</si>
  <si>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</si>
  <si>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</si>
  <si>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</si>
  <si>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</si>
  <si>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</si>
  <si>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</si>
  <si>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</si>
  <si>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</si>
  <si>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</si>
  <si>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</si>
  <si>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</si>
  <si>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</si>
  <si>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</si>
  <si>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</si>
  <si>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</si>
  <si>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</si>
  <si>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</si>
  <si>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</si>
  <si>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</si>
  <si>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</si>
  <si>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</si>
  <si>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</si>
  <si>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</si>
  <si>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</si>
  <si>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</si>
  <si>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</si>
  <si>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</si>
  <si>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</si>
  <si>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</si>
  <si>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</si>
  <si>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</si>
  <si>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</si>
  <si>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</si>
  <si>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</si>
  <si>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</si>
  <si>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</si>
  <si>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</si>
  <si>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</si>
  <si>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</si>
  <si>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</si>
  <si>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</si>
  <si>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</si>
  <si>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</si>
  <si>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</si>
  <si>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</si>
  <si>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</si>
  <si>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</si>
  <si>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</si>
  <si>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</si>
  <si>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</si>
  <si>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</si>
  <si>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</si>
  <si>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</si>
  <si>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Page deja créée, mettre en ligne</t>
  </si>
  <si>
    <t>Francois</t>
  </si>
  <si>
    <t>Concevoir le formulaire d'inscription avec les champs requis.</t>
  </si>
  <si>
    <t>Implémenter la fonctionnalité d'enregistrement des informations saisies lors de l'inscription.</t>
  </si>
  <si>
    <t>Mettre en place un système d'authentification pour permettre aux utilisateurs de se connecter.</t>
  </si>
  <si>
    <t>Créer une interface conviviale pour permettre aux utilisateurs de compléter leur profil.</t>
  </si>
  <si>
    <t>Tests</t>
  </si>
  <si>
    <t>Interface (ajout du bouton, confirmations)</t>
  </si>
  <si>
    <t>Backend</t>
  </si>
  <si>
    <t>Base de donnée</t>
  </si>
  <si>
    <t>Interface</t>
  </si>
  <si>
    <t>Concevoir le formulaire d'ajout d'enchère avec les champs nécessaires.</t>
  </si>
  <si>
    <t>Valider les informations saisies lors de l'ajout de l'enchère.</t>
  </si>
  <si>
    <t>Enregistrer les détails de l'enchère dans la base de données.</t>
  </si>
  <si>
    <t>Mettre à jour l'interface utilisateur pour afficher la nouvelle enchère ajoutée.</t>
  </si>
  <si>
    <t>Database/architecture</t>
  </si>
  <si>
    <t>Conception de l'interface (vignette) pour la page catalogue (grid et liste)</t>
  </si>
  <si>
    <t>Conception de l'interface (Fiche) pour la page fiche(alpha)</t>
  </si>
  <si>
    <t>Ajout des informations (entité timbre), soit: Nom, Date de création, Couleur(s), Pays d'origine, Image(s), condition, Tirage, Dimensions, certifié.</t>
  </si>
  <si>
    <t>Lier les actions</t>
  </si>
  <si>
    <t>Ajout des informations (entité Enchere), soit:Période d'activité(début,fin), prix plancher, offre actuelle (prix, nom du membre), quantité de mises, coup de coeur du Lord</t>
  </si>
  <si>
    <t>Conception de l'interface de filtrage des enchères pour les favoris.</t>
  </si>
  <si>
    <t>Implémentation du marquage des enchères comme favoris par les membres.(voir storyID 44)</t>
  </si>
  <si>
    <t>Filtrage des enchères affichées pour n'afficher que les favoris sélectionnés.</t>
  </si>
  <si>
    <t>Conception de l'interface de filtrage des enchères pour les Coups de coeur .</t>
  </si>
  <si>
    <t>Implémentation du marquage des enchères comme  Coups de coeur  par l'admin</t>
  </si>
  <si>
    <t>Filtrage des enchères affichées pour n'afficher que les Coups de coeur .</t>
  </si>
  <si>
    <t>Conception de l'interface de filtrage des enchères selon status .</t>
  </si>
  <si>
    <t>Implémentation du marquage des enchères(status) par l'admin (temporaire)</t>
  </si>
  <si>
    <t>Filtrage des enchères affichées pour afficher selon le status.</t>
  </si>
  <si>
    <t>Conception de l'interface de filtrage des enchères selon pays d’origine, de l’année de publication, de la condition, etc)</t>
  </si>
  <si>
    <t>Implémentation d'un mode 'edit' (premilinaire/draft) pour les encheres</t>
  </si>
  <si>
    <t>Filtrage des enchères affichées pour afficher selonle filtrage</t>
  </si>
  <si>
    <t>Database/architecture(voir storyID 41)</t>
  </si>
  <si>
    <t>Database/ui/backend/test</t>
  </si>
  <si>
    <t>Database/ui/backend</t>
  </si>
  <si>
    <t>tests</t>
  </si>
  <si>
    <t>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</si>
</sst>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5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8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5" xfId="0" applyFont="1" applyFill="1" applyBorder="1" applyAlignment="1">
      <alignment horizontal="center"/>
    </xf>
    <xf numFmtId="0" fontId="1" fillId="2" borderId="15" xfId="0" applyFont="1" applyFill="1" applyBorder="1" applyAlignment="1">
      <alignment wrapText="1"/>
    </xf>
    <xf numFmtId="0" fontId="1" fillId="2" borderId="15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left" wrapText="1"/>
    </xf>
    <xf numFmtId="165" fontId="0" fillId="0" borderId="0" xfId="0" applyNumberFormat="1"/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/>
    </xf>
    <xf numFmtId="0" fontId="9" fillId="0" borderId="0" xfId="0" applyFont="1"/>
    <xf numFmtId="0" fontId="9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1" fillId="2" borderId="0" xfId="0" applyFont="1" applyFill="1" applyAlignment="1">
      <alignment vertical="top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wrapText="1"/>
    </xf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17" fontId="9" fillId="0" borderId="0" xfId="0" applyNumberFormat="1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9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6" fontId="3" fillId="0" borderId="0" xfId="0" applyNumberFormat="1" applyFont="1" applyAlignment="1">
      <alignment horizontal="left" vertical="top"/>
    </xf>
    <xf numFmtId="166" fontId="3" fillId="0" borderId="0" xfId="0" applyNumberFormat="1" applyFont="1" applyAlignment="1">
      <alignment horizontal="center" vertical="top"/>
    </xf>
    <xf numFmtId="166" fontId="3" fillId="0" borderId="0" xfId="0" applyNumberFormat="1" applyFont="1" applyAlignment="1">
      <alignment horizontal="left"/>
    </xf>
    <xf numFmtId="166" fontId="3" fillId="0" borderId="0" xfId="0" applyNumberFormat="1" applyFont="1" applyAlignment="1">
      <alignment horizontal="center"/>
    </xf>
    <xf numFmtId="167" fontId="0" fillId="0" borderId="0" xfId="0" applyNumberFormat="1" applyAlignment="1">
      <alignment horizontal="left"/>
    </xf>
    <xf numFmtId="0" fontId="7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</cellXfs>
  <cellStyles count="1">
    <cellStyle name="Normal" xfId="0" builtinId="0"/>
  </cellStyles>
  <dxfs count="77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9-4CA9-A494-BDEB36989EE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19-4CA9-A494-BDEB36989EE6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19-4CA9-A494-BDEB36989EE6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19-4CA9-A494-BDEB36989EE6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19-4CA9-A494-BDEB36989EE6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19-4CA9-A494-BDEB36989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624840064"/>
        <c:axId val="1"/>
      </c:lineChart>
      <c:catAx>
        <c:axId val="624840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48400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559-4C16-BE35-E3CC574A14FA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559-4C16-BE35-E3CC574A1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4838672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59-4C16-BE35-E3CC574A14FA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59-4C16-BE35-E3CC574A14FA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59-4C16-BE35-E3CC574A1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838672"/>
        <c:axId val="1"/>
      </c:lineChart>
      <c:catAx>
        <c:axId val="62483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48386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187073895023903E-2"/>
          <c:y val="0.87395468116628694"/>
          <c:w val="0.92405352821657039"/>
          <c:h val="0.979975483007317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0</c:v>
                </c:pt>
                <c:pt idx="1">
                  <c:v>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B-4FE5-B1EC-D610402F1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483913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5B-4FE5-B1EC-D610402F1CD7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5B-4FE5-B1EC-D610402F1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839136"/>
        <c:axId val="1"/>
      </c:lineChart>
      <c:catAx>
        <c:axId val="624839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48391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3360189796761151E-3"/>
          <c:y val="4.4119190983480008E-2"/>
          <c:w val="0.11404789818379356"/>
          <c:h val="0.397075034738304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B-495B-BDC4-B913FE225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4838208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205</c:v>
                </c:pt>
                <c:pt idx="1">
                  <c:v>170.83333333333334</c:v>
                </c:pt>
                <c:pt idx="2">
                  <c:v>136.66666666666669</c:v>
                </c:pt>
                <c:pt idx="3">
                  <c:v>102.5</c:v>
                </c:pt>
                <c:pt idx="4">
                  <c:v>68.333333333333343</c:v>
                </c:pt>
                <c:pt idx="5">
                  <c:v>34.166666666666686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BB-495B-BDC4-B913FE2254DE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BB-495B-BDC4-B913FE225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838208"/>
        <c:axId val="1"/>
      </c:lineChart>
      <c:catAx>
        <c:axId val="624838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946628"/>
              <c:y val="0.139706425585690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48382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293644779754E-3"/>
          <c:y val="6.6179060950714491E-2"/>
          <c:w val="0.11299179652752611"/>
          <c:h val="0.426487800136094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51-4E8B-8C8A-0777627D8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5558592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51-4E8B-8C8A-0777627D84FA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51-4E8B-8C8A-0777627D8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58592"/>
        <c:axId val="1"/>
      </c:lineChart>
      <c:catAx>
        <c:axId val="625558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55585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10-41EE-B9CE-CA839556A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5559984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10-41EE-B9CE-CA839556AC68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10-41EE-B9CE-CA839556A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59984"/>
        <c:axId val="1"/>
      </c:lineChart>
      <c:catAx>
        <c:axId val="62555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55599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95250</xdr:rowOff>
        </xdr:from>
        <xdr:to>
          <xdr:col>7</xdr:col>
          <xdr:colOff>171450</xdr:colOff>
          <xdr:row>1</xdr:row>
          <xdr:rowOff>85725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41843C43-4C0C-C904-9D36-B7F6B3432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758" name="Graphique 2">
          <a:extLst>
            <a:ext uri="{FF2B5EF4-FFF2-40B4-BE49-F238E27FC236}">
              <a16:creationId xmlns:a16="http://schemas.microsoft.com/office/drawing/2014/main" id="{D3B3DD44-EFA2-59AF-32B1-1B310DD5B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759" name="Graphique 17">
          <a:extLst>
            <a:ext uri="{FF2B5EF4-FFF2-40B4-BE49-F238E27FC236}">
              <a16:creationId xmlns:a16="http://schemas.microsoft.com/office/drawing/2014/main" id="{DF0BB49E-74AA-8BA1-80DB-BDAA8258F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96" name="Graphique 2">
          <a:extLst>
            <a:ext uri="{FF2B5EF4-FFF2-40B4-BE49-F238E27FC236}">
              <a16:creationId xmlns:a16="http://schemas.microsoft.com/office/drawing/2014/main" id="{BB775823-5359-0958-436B-318DACECA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E777207E-BF59-A4B4-3479-0D25F11602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B091D948-D9C6-5DBF-B775-700899897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94" name="Graphique 2">
          <a:extLst>
            <a:ext uri="{FF2B5EF4-FFF2-40B4-BE49-F238E27FC236}">
              <a16:creationId xmlns:a16="http://schemas.microsoft.com/office/drawing/2014/main" id="{671F898C-686A-1885-FB27-481E4E9283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1724025</xdr:colOff>
          <xdr:row>7</xdr:row>
          <xdr:rowOff>28575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3881A533-ADC1-05B6-0627-307A89D4F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5</xdr:row>
          <xdr:rowOff>85725</xdr:rowOff>
        </xdr:from>
        <xdr:to>
          <xdr:col>2</xdr:col>
          <xdr:colOff>219075</xdr:colOff>
          <xdr:row>7</xdr:row>
          <xdr:rowOff>28575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587924EB-3CD6-4A6A-DBE0-4243B93697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34" name="Graphique 2">
          <a:extLst>
            <a:ext uri="{FF2B5EF4-FFF2-40B4-BE49-F238E27FC236}">
              <a16:creationId xmlns:a16="http://schemas.microsoft.com/office/drawing/2014/main" id="{262A0AD6-A132-2DBC-7A78-28BF9EEC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1724025</xdr:colOff>
          <xdr:row>7</xdr:row>
          <xdr:rowOff>28575</xdr:rowOff>
        </xdr:to>
        <xdr:sp macro="" textlink="">
          <xdr:nvSpPr>
            <xdr:cNvPr id="149505" name="Button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85ACFA08-A09E-0295-D243-4562FC4B6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5</xdr:row>
          <xdr:rowOff>85725</xdr:rowOff>
        </xdr:from>
        <xdr:to>
          <xdr:col>2</xdr:col>
          <xdr:colOff>219075</xdr:colOff>
          <xdr:row>7</xdr:row>
          <xdr:rowOff>28575</xdr:rowOff>
        </xdr:to>
        <xdr:sp macro="" textlink="">
          <xdr:nvSpPr>
            <xdr:cNvPr id="149506" name="Button 2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82B302C2-EA25-8C35-EFC1-4E84DB12C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505" name="Graphique 2">
          <a:extLst>
            <a:ext uri="{FF2B5EF4-FFF2-40B4-BE49-F238E27FC236}">
              <a16:creationId xmlns:a16="http://schemas.microsoft.com/office/drawing/2014/main" id="{14375F0C-13C5-41EE-557D-42266E2B9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1724025</xdr:colOff>
          <xdr:row>7</xdr:row>
          <xdr:rowOff>28575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74ABA22C-1738-29AF-EE62-EF544667E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5</xdr:row>
          <xdr:rowOff>85725</xdr:rowOff>
        </xdr:from>
        <xdr:to>
          <xdr:col>2</xdr:col>
          <xdr:colOff>219075</xdr:colOff>
          <xdr:row>7</xdr:row>
          <xdr:rowOff>28575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B8A366B3-2B33-18F9-DF20-EA53D7718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5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6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A16" sqref="A16"/>
    </sheetView>
  </sheetViews>
  <sheetFormatPr defaultRowHeight="12.75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>
      <c r="A1" s="13" t="s">
        <v>0</v>
      </c>
    </row>
    <row r="3" spans="1:10">
      <c r="A3" s="7" t="s">
        <v>1</v>
      </c>
      <c r="B3" s="37" t="s">
        <v>2</v>
      </c>
      <c r="C3" s="38" t="s">
        <v>3</v>
      </c>
      <c r="D3" s="38" t="s">
        <v>4</v>
      </c>
      <c r="E3" s="37" t="s">
        <v>5</v>
      </c>
      <c r="F3" s="8" t="s">
        <v>6</v>
      </c>
      <c r="G3" s="37" t="s">
        <v>7</v>
      </c>
      <c r="H3" s="9" t="s">
        <v>8</v>
      </c>
      <c r="I3" s="1"/>
      <c r="J3" s="1"/>
    </row>
    <row r="4" spans="1:10">
      <c r="A4" s="10">
        <v>1</v>
      </c>
      <c r="B4" s="36" t="str">
        <f>IF(OR(B16="",A4=""),"",B16)</f>
        <v/>
      </c>
      <c r="C4" s="21">
        <f t="shared" ref="C4:C10" si="0">IF(A4="","",SUMIF(I$16:I$30,A4,C$16:C$30))</f>
        <v>0</v>
      </c>
      <c r="D4" s="36" t="str">
        <f>IF(OR(B4="",C4=""),"",B4+C4-1)</f>
        <v/>
      </c>
      <c r="E4" s="18">
        <f>IF(A4="","",SUMIF(I$16:I$30,'Release Plan'!A4,E$16:E$30))</f>
        <v>0</v>
      </c>
      <c r="G4" s="39"/>
      <c r="H4" s="4"/>
    </row>
    <row r="5" spans="1:10">
      <c r="A5" s="11">
        <v>2</v>
      </c>
      <c r="B5" s="33" t="e">
        <f>IF(A5="","",B4+C4)</f>
        <v>#VALUE!</v>
      </c>
      <c r="C5" s="18">
        <f t="shared" si="0"/>
        <v>0</v>
      </c>
      <c r="D5" s="33" t="e">
        <f t="shared" ref="D5:D10" si="1">IF(OR(B5="",C5=""),"",B5+C5-1)</f>
        <v>#VALUE!</v>
      </c>
      <c r="E5" s="18">
        <f>IF(A5="","",SUMIF(I$16:I$30,'Release Plan'!A5,E$16:E$30))</f>
        <v>0</v>
      </c>
      <c r="G5" s="40"/>
      <c r="H5" s="5"/>
    </row>
    <row r="6" spans="1:10">
      <c r="A6" s="11"/>
      <c r="B6" s="33"/>
      <c r="C6" s="18" t="str">
        <f t="shared" si="0"/>
        <v/>
      </c>
      <c r="D6" s="33" t="str">
        <f t="shared" si="1"/>
        <v/>
      </c>
      <c r="E6" s="18" t="str">
        <f>IF(A6="","",SUMIF(I$16:I$30,'Release Plan'!A6,E$16:E$30))</f>
        <v/>
      </c>
      <c r="G6" s="40"/>
      <c r="H6" s="5"/>
    </row>
    <row r="7" spans="1:10">
      <c r="A7" s="11"/>
      <c r="B7" s="33"/>
      <c r="C7" s="18" t="str">
        <f t="shared" si="0"/>
        <v/>
      </c>
      <c r="D7" s="33" t="str">
        <f t="shared" si="1"/>
        <v/>
      </c>
      <c r="E7" s="18" t="str">
        <f>IF(A7="","",SUMIF(I$16:I$30,'Release Plan'!A7,E$16:E$30))</f>
        <v/>
      </c>
      <c r="G7" s="40"/>
      <c r="H7" s="5"/>
    </row>
    <row r="8" spans="1:10">
      <c r="A8" s="11"/>
      <c r="B8" s="33"/>
      <c r="C8" s="18" t="str">
        <f t="shared" si="0"/>
        <v/>
      </c>
      <c r="D8" s="33" t="str">
        <f t="shared" si="1"/>
        <v/>
      </c>
      <c r="E8" s="18" t="str">
        <f>IF(A8="","",SUMIF(I$16:I$30,'Release Plan'!A8,E$16:E$30))</f>
        <v/>
      </c>
      <c r="G8" s="40"/>
      <c r="H8" s="5"/>
    </row>
    <row r="9" spans="1:10">
      <c r="A9" s="11"/>
      <c r="B9" s="33"/>
      <c r="C9" s="18" t="str">
        <f t="shared" si="0"/>
        <v/>
      </c>
      <c r="D9" s="33" t="str">
        <f t="shared" si="1"/>
        <v/>
      </c>
      <c r="E9" s="18" t="str">
        <f>IF(A9="","",SUMIF(I$16:I$30,'Release Plan'!A9,E$16:E$30))</f>
        <v/>
      </c>
      <c r="G9" s="40"/>
      <c r="H9" s="5"/>
    </row>
    <row r="10" spans="1:10">
      <c r="A10" s="12"/>
      <c r="B10" s="34"/>
      <c r="C10" s="35" t="str">
        <f t="shared" si="0"/>
        <v/>
      </c>
      <c r="D10" s="34" t="str">
        <f t="shared" si="1"/>
        <v/>
      </c>
      <c r="E10" s="35" t="str">
        <f>IF(A10="","",SUMIF(I$16:I$30,'Release Plan'!A10,E$16:E$30))</f>
        <v/>
      </c>
      <c r="F10" s="3"/>
      <c r="G10" s="41"/>
      <c r="H10" s="6"/>
    </row>
    <row r="11" spans="1:10">
      <c r="A11" s="30" t="s">
        <v>9</v>
      </c>
    </row>
    <row r="13" spans="1:10" ht="18">
      <c r="A13" s="13" t="s">
        <v>10</v>
      </c>
    </row>
    <row r="15" spans="1:10">
      <c r="A15" s="7" t="s">
        <v>11</v>
      </c>
      <c r="B15" s="37" t="s">
        <v>2</v>
      </c>
      <c r="C15" s="37" t="s">
        <v>3</v>
      </c>
      <c r="D15" s="37" t="s">
        <v>4</v>
      </c>
      <c r="E15" s="37" t="s">
        <v>5</v>
      </c>
      <c r="F15" s="8" t="s">
        <v>6</v>
      </c>
      <c r="G15" s="37" t="s">
        <v>7</v>
      </c>
      <c r="H15" s="62" t="s">
        <v>8</v>
      </c>
      <c r="I15" s="43" t="s">
        <v>12</v>
      </c>
      <c r="J15" s="1"/>
    </row>
    <row r="16" spans="1:10">
      <c r="A16" s="18"/>
      <c r="B16" s="64"/>
      <c r="C16" s="2"/>
      <c r="D16" s="22"/>
      <c r="E16" s="18"/>
      <c r="H16" s="23"/>
      <c r="I16" s="61"/>
    </row>
    <row r="17" spans="1:9">
      <c r="A17" s="18"/>
      <c r="B17" s="22"/>
      <c r="C17" s="2"/>
      <c r="D17" s="22"/>
      <c r="E17" s="18"/>
      <c r="H17" s="24"/>
      <c r="I17" s="31"/>
    </row>
    <row r="18" spans="1:9">
      <c r="A18" s="18"/>
      <c r="B18" s="22"/>
      <c r="C18" s="2"/>
      <c r="D18" s="22"/>
      <c r="E18" s="18"/>
      <c r="H18" s="24"/>
      <c r="I18" s="31"/>
    </row>
    <row r="19" spans="1:9">
      <c r="A19" s="18"/>
      <c r="B19" s="22"/>
      <c r="C19" s="2"/>
      <c r="D19" s="22"/>
      <c r="E19" s="18"/>
      <c r="H19" s="24"/>
      <c r="I19" s="31"/>
    </row>
    <row r="20" spans="1:9">
      <c r="A20" s="18"/>
      <c r="B20" s="22"/>
      <c r="C20" s="2"/>
      <c r="D20" s="22"/>
      <c r="E20" s="18"/>
      <c r="H20" s="24"/>
      <c r="I20" s="31"/>
    </row>
    <row r="21" spans="1:9">
      <c r="A21" s="18"/>
      <c r="B21" s="22"/>
      <c r="C21" s="2"/>
      <c r="D21" s="22"/>
      <c r="E21" s="18"/>
      <c r="H21" s="24"/>
      <c r="I21" s="31"/>
    </row>
    <row r="22" spans="1:9">
      <c r="A22" s="18" t="str">
        <f t="shared" ref="A22:A30" si="2">IF(AND(B22&lt;&gt;"",C22&lt;&gt;""),A21+1,"")</f>
        <v/>
      </c>
      <c r="B22" s="22" t="str">
        <f t="shared" ref="B22:B30" si="3">IF(AND(B21&lt;&gt;"",C21&lt;&gt;"",C22&lt;&gt;""),B21+C21,"")</f>
        <v/>
      </c>
      <c r="C22" s="2"/>
      <c r="D22" s="22" t="str">
        <f t="shared" ref="D22:D30" si="4">IF(AND(B22&lt;&gt;"",C22&lt;&gt;""),B22+C22-1,"")</f>
        <v/>
      </c>
      <c r="E22" s="18" t="str">
        <f>IF(A22="","",SUMIF('Product Backlog'!F$5:F$75,'Release Plan'!A22,'Product Backlog'!E$5:E$75))</f>
        <v/>
      </c>
      <c r="F22" t="str">
        <f t="shared" ref="F22:F30" si="5">IF(AND(OR(F21="Planned",F21="Ongoing"),C22&lt;&gt;""),"Planned","Unplanned")</f>
        <v>Unplanned</v>
      </c>
      <c r="H22" s="24"/>
      <c r="I22" s="31"/>
    </row>
    <row r="23" spans="1:9">
      <c r="A23" s="18" t="str">
        <f t="shared" si="2"/>
        <v/>
      </c>
      <c r="B23" s="22" t="str">
        <f t="shared" si="3"/>
        <v/>
      </c>
      <c r="C23" s="2"/>
      <c r="D23" s="22" t="str">
        <f t="shared" si="4"/>
        <v/>
      </c>
      <c r="E23" s="18" t="str">
        <f>IF(A23="","",SUMIF('Product Backlog'!F$5:F$75,'Release Plan'!A23,'Product Backlog'!E$5:E$75))</f>
        <v/>
      </c>
      <c r="F23" t="str">
        <f t="shared" si="5"/>
        <v>Unplanned</v>
      </c>
      <c r="H23" s="24"/>
      <c r="I23" s="31"/>
    </row>
    <row r="24" spans="1:9">
      <c r="A24" s="18" t="str">
        <f t="shared" si="2"/>
        <v/>
      </c>
      <c r="B24" s="22" t="str">
        <f t="shared" si="3"/>
        <v/>
      </c>
      <c r="C24" s="2"/>
      <c r="D24" s="22" t="str">
        <f t="shared" si="4"/>
        <v/>
      </c>
      <c r="E24" s="18" t="str">
        <f>IF(A24="","",SUMIF('Product Backlog'!F$5:F$75,'Release Plan'!A24,'Product Backlog'!E$5:E$75))</f>
        <v/>
      </c>
      <c r="F24" t="str">
        <f t="shared" si="5"/>
        <v>Unplanned</v>
      </c>
      <c r="H24" s="24"/>
      <c r="I24" s="31"/>
    </row>
    <row r="25" spans="1:9">
      <c r="A25" s="18" t="str">
        <f t="shared" si="2"/>
        <v/>
      </c>
      <c r="B25" s="22" t="str">
        <f t="shared" si="3"/>
        <v/>
      </c>
      <c r="C25" s="2"/>
      <c r="D25" s="22" t="str">
        <f t="shared" si="4"/>
        <v/>
      </c>
      <c r="E25" s="18" t="str">
        <f>IF(A25="","",SUMIF('Product Backlog'!F$5:F$75,'Release Plan'!A25,'Product Backlog'!E$5:E$75))</f>
        <v/>
      </c>
      <c r="F25" t="str">
        <f t="shared" si="5"/>
        <v>Unplanned</v>
      </c>
      <c r="H25" s="24"/>
      <c r="I25" s="31"/>
    </row>
    <row r="26" spans="1:9">
      <c r="A26" s="18" t="str">
        <f t="shared" si="2"/>
        <v/>
      </c>
      <c r="B26" s="22" t="str">
        <f t="shared" si="3"/>
        <v/>
      </c>
      <c r="C26" s="2"/>
      <c r="D26" s="22" t="str">
        <f t="shared" si="4"/>
        <v/>
      </c>
      <c r="E26" s="18" t="str">
        <f>IF(A26="","",SUMIF('Product Backlog'!F$5:F$75,'Release Plan'!A26,'Product Backlog'!E$5:E$75))</f>
        <v/>
      </c>
      <c r="F26" t="str">
        <f t="shared" si="5"/>
        <v>Unplanned</v>
      </c>
      <c r="H26" s="24"/>
      <c r="I26" s="31"/>
    </row>
    <row r="27" spans="1:9">
      <c r="A27" s="18" t="str">
        <f t="shared" si="2"/>
        <v/>
      </c>
      <c r="B27" s="22" t="str">
        <f t="shared" si="3"/>
        <v/>
      </c>
      <c r="C27" s="2"/>
      <c r="D27" s="22" t="str">
        <f t="shared" si="4"/>
        <v/>
      </c>
      <c r="E27" s="18" t="str">
        <f>IF(A27="","",SUMIF('Product Backlog'!F$5:F$75,'Release Plan'!A27,'Product Backlog'!E$5:E$75))</f>
        <v/>
      </c>
      <c r="F27" t="str">
        <f t="shared" si="5"/>
        <v>Unplanned</v>
      </c>
      <c r="H27" s="24"/>
      <c r="I27" s="31"/>
    </row>
    <row r="28" spans="1:9">
      <c r="A28" s="18" t="str">
        <f t="shared" si="2"/>
        <v/>
      </c>
      <c r="B28" s="22" t="str">
        <f t="shared" si="3"/>
        <v/>
      </c>
      <c r="C28" s="2"/>
      <c r="D28" s="22" t="str">
        <f t="shared" si="4"/>
        <v/>
      </c>
      <c r="E28" s="18" t="str">
        <f>IF(A28="","",SUMIF('Product Backlog'!F$5:F$75,'Release Plan'!A28,'Product Backlog'!E$5:E$75))</f>
        <v/>
      </c>
      <c r="F28" t="str">
        <f t="shared" si="5"/>
        <v>Unplanned</v>
      </c>
      <c r="H28" s="24"/>
      <c r="I28" s="31"/>
    </row>
    <row r="29" spans="1:9">
      <c r="A29" s="18" t="str">
        <f t="shared" si="2"/>
        <v/>
      </c>
      <c r="B29" s="22" t="str">
        <f t="shared" si="3"/>
        <v/>
      </c>
      <c r="C29" s="2"/>
      <c r="D29" s="22" t="str">
        <f t="shared" si="4"/>
        <v/>
      </c>
      <c r="E29" s="18" t="str">
        <f>IF(A29="","",SUMIF('Product Backlog'!F$5:F$75,'Release Plan'!A29,'Product Backlog'!E$5:E$75))</f>
        <v/>
      </c>
      <c r="F29" t="str">
        <f t="shared" si="5"/>
        <v>Unplanned</v>
      </c>
      <c r="H29" s="24"/>
      <c r="I29" s="31"/>
    </row>
    <row r="30" spans="1:9">
      <c r="A30" s="18" t="str">
        <f t="shared" si="2"/>
        <v/>
      </c>
      <c r="B30" s="22" t="str">
        <f t="shared" si="3"/>
        <v/>
      </c>
      <c r="C30" s="2"/>
      <c r="D30" s="22" t="str">
        <f t="shared" si="4"/>
        <v/>
      </c>
      <c r="E30" s="18" t="str">
        <f>IF(A30="","",SUMIF('Product Backlog'!F$5:F$75,'Release Plan'!A30,'Product Backlog'!E$5:E$75))</f>
        <v/>
      </c>
      <c r="F30" t="str">
        <f t="shared" si="5"/>
        <v>Unplanned</v>
      </c>
      <c r="H30" s="25"/>
      <c r="I30" s="32"/>
    </row>
    <row r="31" spans="1:9">
      <c r="A31" s="19"/>
      <c r="B31" s="19"/>
      <c r="C31" s="19"/>
      <c r="D31" s="20" t="s">
        <v>13</v>
      </c>
      <c r="E31" s="21">
        <f>SUMIF('Product Backlog'!F$5:F$75,"",'Product Backlog'!E$5:E$75)-SUMIF('Product Backlog'!D$5:D$75,"Removed",'Product Backlog'!E$5:E$75)</f>
        <v>0</v>
      </c>
      <c r="F31" s="19"/>
      <c r="G31" s="42"/>
      <c r="H31" s="19"/>
    </row>
  </sheetData>
  <phoneticPr fontId="2" type="noConversion"/>
  <conditionalFormatting sqref="G4:H10 E31 E5:E10 A4:D10">
    <cfRule type="expression" dxfId="76" priority="1" stopIfTrue="1">
      <formula>$F4="Planned"</formula>
    </cfRule>
    <cfRule type="expression" dxfId="75" priority="2" stopIfTrue="1">
      <formula>$F4="Ongoing"</formula>
    </cfRule>
  </conditionalFormatting>
  <conditionalFormatting sqref="F4:F10 F16:F30">
    <cfRule type="expression" dxfId="74" priority="3" stopIfTrue="1">
      <formula>$F4="Planned"</formula>
    </cfRule>
    <cfRule type="expression" dxfId="73" priority="4" stopIfTrue="1">
      <formula>$F4="Ongoing"</formula>
    </cfRule>
    <cfRule type="cellIs" dxfId="72" priority="5" stopIfTrue="1" operator="equal">
      <formula>"Unplanned"</formula>
    </cfRule>
  </conditionalFormatting>
  <conditionalFormatting sqref="E4 G16:H30 A16:E30">
    <cfRule type="expression" dxfId="71" priority="6" stopIfTrue="1">
      <formula>OR($F4="Planned",$F4="Unplanned")</formula>
    </cfRule>
    <cfRule type="expression" dxfId="70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69"/>
  <sheetViews>
    <sheetView zoomScale="112" zoomScaleNormal="112" workbookViewId="0">
      <pane ySplit="4" topLeftCell="A47" activePane="bottomLeft" state="frozen"/>
      <selection pane="bottomLeft" activeCell="E61" sqref="E61"/>
    </sheetView>
  </sheetViews>
  <sheetFormatPr defaultRowHeight="12.75"/>
  <cols>
    <col min="1" max="1" width="5.85546875" style="28" customWidth="1"/>
    <col min="2" max="2" width="21.140625" style="79" customWidth="1"/>
    <col min="3" max="3" width="42.28515625" style="26" customWidth="1"/>
    <col min="4" max="4" width="9.140625" style="28" customWidth="1"/>
    <col min="5" max="5" width="6" style="28" customWidth="1"/>
    <col min="6" max="6" width="6.140625" style="28" customWidth="1"/>
    <col min="7" max="7" width="7.28515625" style="28" customWidth="1"/>
    <col min="8" max="8" width="5.5703125" style="26" customWidth="1"/>
    <col min="9" max="9" width="16.42578125" style="29" customWidth="1"/>
    <col min="10" max="256" width="11.42578125" style="29" customWidth="1"/>
    <col min="257" max="16384" width="9.140625" style="29"/>
  </cols>
  <sheetData>
    <row r="1" spans="1:9" ht="18">
      <c r="A1" s="44" t="s">
        <v>14</v>
      </c>
      <c r="B1" s="78"/>
      <c r="D1" s="27" t="s">
        <v>15</v>
      </c>
    </row>
    <row r="2" spans="1:9">
      <c r="E2" s="63"/>
    </row>
    <row r="4" spans="1:9" ht="38.25">
      <c r="A4" s="60" t="s">
        <v>16</v>
      </c>
      <c r="B4" s="80" t="s">
        <v>17</v>
      </c>
      <c r="C4" s="68" t="s">
        <v>18</v>
      </c>
      <c r="D4" s="60" t="s">
        <v>6</v>
      </c>
      <c r="E4" s="60" t="s">
        <v>5</v>
      </c>
      <c r="F4" s="60" t="s">
        <v>11</v>
      </c>
      <c r="G4" s="60" t="s">
        <v>19</v>
      </c>
      <c r="H4" s="68" t="s">
        <v>20</v>
      </c>
      <c r="I4" s="68" t="s">
        <v>21</v>
      </c>
    </row>
    <row r="5" spans="1:9" s="71" customFormat="1" ht="38.25">
      <c r="A5" s="73">
        <v>3</v>
      </c>
      <c r="B5" s="81" t="s">
        <v>22</v>
      </c>
      <c r="C5" s="72" t="s">
        <v>23</v>
      </c>
      <c r="D5" s="73" t="s">
        <v>24</v>
      </c>
      <c r="E5" s="73"/>
      <c r="F5" s="73">
        <v>3</v>
      </c>
      <c r="G5" s="73" t="s">
        <v>25</v>
      </c>
      <c r="H5" s="69"/>
      <c r="I5" s="71" t="s">
        <v>26</v>
      </c>
    </row>
    <row r="6" spans="1:9" s="71" customFormat="1" ht="26.25" customHeight="1">
      <c r="B6" s="81"/>
      <c r="C6" s="72"/>
      <c r="D6" s="73"/>
      <c r="E6" s="73"/>
      <c r="F6" s="73"/>
      <c r="G6" s="73"/>
      <c r="H6" s="69"/>
    </row>
    <row r="7" spans="1:9" s="71" customFormat="1" ht="26.25" customHeight="1">
      <c r="A7" s="73">
        <v>4</v>
      </c>
      <c r="B7" s="81" t="s">
        <v>27</v>
      </c>
      <c r="C7" s="72" t="s">
        <v>28</v>
      </c>
      <c r="D7" s="73" t="s">
        <v>29</v>
      </c>
      <c r="E7" s="73"/>
      <c r="F7" s="73">
        <v>1</v>
      </c>
      <c r="G7" s="73" t="s">
        <v>30</v>
      </c>
      <c r="H7" s="72"/>
      <c r="I7" s="71" t="s">
        <v>26</v>
      </c>
    </row>
    <row r="8" spans="1:9" s="71" customFormat="1" ht="38.25">
      <c r="A8" s="73">
        <v>5</v>
      </c>
      <c r="B8" s="81" t="s">
        <v>27</v>
      </c>
      <c r="C8" s="72" t="s">
        <v>31</v>
      </c>
      <c r="D8" s="73" t="s">
        <v>24</v>
      </c>
      <c r="E8" s="73"/>
      <c r="F8" s="73">
        <v>3</v>
      </c>
      <c r="G8" s="73" t="s">
        <v>32</v>
      </c>
      <c r="H8" s="72"/>
      <c r="I8" s="71" t="s">
        <v>26</v>
      </c>
    </row>
    <row r="9" spans="1:9" s="71" customFormat="1" ht="38.25">
      <c r="A9" s="73">
        <v>6</v>
      </c>
      <c r="B9" s="81" t="s">
        <v>27</v>
      </c>
      <c r="C9" s="72" t="s">
        <v>33</v>
      </c>
      <c r="D9" s="73" t="s">
        <v>29</v>
      </c>
      <c r="E9" s="73"/>
      <c r="F9" s="73">
        <v>1</v>
      </c>
      <c r="G9" s="73" t="s">
        <v>30</v>
      </c>
      <c r="H9" s="72"/>
      <c r="I9" s="71" t="s">
        <v>26</v>
      </c>
    </row>
    <row r="10" spans="1:9" s="71" customFormat="1" ht="25.5">
      <c r="A10" s="73">
        <v>7</v>
      </c>
      <c r="B10" s="81" t="s">
        <v>27</v>
      </c>
      <c r="C10" s="72" t="s">
        <v>34</v>
      </c>
      <c r="D10" s="73" t="s">
        <v>24</v>
      </c>
      <c r="E10" s="73"/>
      <c r="F10" s="73">
        <v>3</v>
      </c>
      <c r="G10" s="73" t="s">
        <v>25</v>
      </c>
      <c r="H10" s="72"/>
      <c r="I10" s="71" t="s">
        <v>26</v>
      </c>
    </row>
    <row r="11" spans="1:9" s="71" customFormat="1" ht="38.25">
      <c r="A11" s="73">
        <v>8</v>
      </c>
      <c r="B11" s="81" t="s">
        <v>27</v>
      </c>
      <c r="C11" s="72" t="s">
        <v>35</v>
      </c>
      <c r="D11" s="73" t="s">
        <v>24</v>
      </c>
      <c r="E11" s="73"/>
      <c r="F11" s="73">
        <v>3</v>
      </c>
      <c r="G11" s="73" t="s">
        <v>25</v>
      </c>
      <c r="H11" s="72"/>
      <c r="I11" s="71" t="s">
        <v>26</v>
      </c>
    </row>
    <row r="12" spans="1:9" s="71" customFormat="1" ht="38.25">
      <c r="A12" s="73">
        <v>9</v>
      </c>
      <c r="B12" s="81" t="s">
        <v>27</v>
      </c>
      <c r="C12" s="72" t="s">
        <v>36</v>
      </c>
      <c r="D12" s="73" t="s">
        <v>24</v>
      </c>
      <c r="E12" s="73"/>
      <c r="F12" s="73">
        <v>3</v>
      </c>
      <c r="G12" s="73" t="s">
        <v>32</v>
      </c>
      <c r="H12" s="72"/>
      <c r="I12" s="71" t="s">
        <v>26</v>
      </c>
    </row>
    <row r="13" spans="1:9" s="71" customFormat="1">
      <c r="A13" s="73">
        <v>10</v>
      </c>
      <c r="B13" s="81"/>
      <c r="C13" s="72"/>
      <c r="D13" s="73"/>
      <c r="E13" s="73"/>
      <c r="F13" s="73"/>
      <c r="G13" s="73"/>
      <c r="H13" s="72"/>
    </row>
    <row r="14" spans="1:9" s="71" customFormat="1" ht="25.5">
      <c r="A14" s="73">
        <v>11</v>
      </c>
      <c r="B14" s="81" t="s">
        <v>37</v>
      </c>
      <c r="C14" s="72" t="s">
        <v>38</v>
      </c>
      <c r="D14" s="73" t="s">
        <v>29</v>
      </c>
      <c r="E14" s="73"/>
      <c r="F14" s="73">
        <v>1</v>
      </c>
      <c r="G14" s="73" t="s">
        <v>30</v>
      </c>
      <c r="H14" s="72"/>
      <c r="I14" s="71" t="s">
        <v>39</v>
      </c>
    </row>
    <row r="15" spans="1:9" s="71" customFormat="1" ht="37.5" customHeight="1">
      <c r="A15" s="73">
        <v>12</v>
      </c>
      <c r="B15" s="81" t="s">
        <v>37</v>
      </c>
      <c r="C15" s="72" t="s">
        <v>40</v>
      </c>
      <c r="D15" s="73" t="s">
        <v>29</v>
      </c>
      <c r="E15" s="73"/>
      <c r="F15" s="73">
        <v>1</v>
      </c>
      <c r="G15" s="73" t="s">
        <v>32</v>
      </c>
      <c r="H15" s="72"/>
      <c r="I15" s="71" t="s">
        <v>39</v>
      </c>
    </row>
    <row r="16" spans="1:9" s="71" customFormat="1" ht="25.5">
      <c r="A16" s="73">
        <v>13</v>
      </c>
      <c r="B16" s="81" t="s">
        <v>37</v>
      </c>
      <c r="C16" s="72" t="s">
        <v>41</v>
      </c>
      <c r="D16" s="73" t="s">
        <v>42</v>
      </c>
      <c r="E16" s="73"/>
      <c r="F16" s="73">
        <v>2</v>
      </c>
      <c r="G16" s="73" t="s">
        <v>32</v>
      </c>
      <c r="H16" s="72"/>
      <c r="I16" s="71" t="s">
        <v>39</v>
      </c>
    </row>
    <row r="17" spans="1:9" s="71" customFormat="1" ht="25.5">
      <c r="A17" s="73">
        <v>14</v>
      </c>
      <c r="B17" s="81" t="s">
        <v>43</v>
      </c>
      <c r="C17" s="72" t="s">
        <v>44</v>
      </c>
      <c r="D17" s="73" t="s">
        <v>42</v>
      </c>
      <c r="E17" s="73"/>
      <c r="F17" s="73">
        <v>2</v>
      </c>
      <c r="G17" s="73" t="s">
        <v>30</v>
      </c>
      <c r="H17" s="72"/>
      <c r="I17" s="71" t="s">
        <v>45</v>
      </c>
    </row>
    <row r="18" spans="1:9" s="71" customFormat="1" ht="25.5">
      <c r="A18" s="73">
        <v>15</v>
      </c>
      <c r="B18" s="81" t="s">
        <v>43</v>
      </c>
      <c r="C18" s="72" t="s">
        <v>46</v>
      </c>
      <c r="D18" s="73" t="s">
        <v>24</v>
      </c>
      <c r="E18" s="73"/>
      <c r="F18" s="73">
        <v>3</v>
      </c>
      <c r="G18" s="73" t="s">
        <v>25</v>
      </c>
      <c r="H18" s="72"/>
      <c r="I18" s="71" t="s">
        <v>45</v>
      </c>
    </row>
    <row r="19" spans="1:9" s="71" customFormat="1" ht="25.5">
      <c r="A19" s="73">
        <v>16</v>
      </c>
      <c r="B19" s="81" t="s">
        <v>43</v>
      </c>
      <c r="C19" s="72" t="s">
        <v>47</v>
      </c>
      <c r="D19" s="73" t="s">
        <v>24</v>
      </c>
      <c r="E19" s="73"/>
      <c r="F19" s="73">
        <v>3</v>
      </c>
      <c r="G19" s="73" t="s">
        <v>25</v>
      </c>
      <c r="H19" s="72"/>
      <c r="I19" s="71" t="s">
        <v>45</v>
      </c>
    </row>
    <row r="20" spans="1:9" s="71" customFormat="1" ht="25.5">
      <c r="A20" s="73">
        <v>17</v>
      </c>
      <c r="B20" s="81" t="s">
        <v>43</v>
      </c>
      <c r="C20" s="72" t="s">
        <v>48</v>
      </c>
      <c r="D20" s="73" t="s">
        <v>29</v>
      </c>
      <c r="E20" s="73"/>
      <c r="F20" s="73">
        <v>1</v>
      </c>
      <c r="G20" s="73" t="s">
        <v>32</v>
      </c>
      <c r="H20" s="72"/>
    </row>
    <row r="21" spans="1:9" s="71" customFormat="1" ht="38.25">
      <c r="A21" s="73">
        <v>18</v>
      </c>
      <c r="B21" s="81" t="s">
        <v>43</v>
      </c>
      <c r="C21" s="72" t="s">
        <v>49</v>
      </c>
      <c r="D21" s="73" t="s">
        <v>42</v>
      </c>
      <c r="E21" s="73"/>
      <c r="F21" s="73">
        <v>2</v>
      </c>
      <c r="G21" s="73" t="s">
        <v>25</v>
      </c>
      <c r="H21" s="72"/>
      <c r="I21" s="71" t="s">
        <v>45</v>
      </c>
    </row>
    <row r="22" spans="1:9" s="71" customFormat="1" ht="25.5">
      <c r="A22" s="73">
        <v>19</v>
      </c>
      <c r="B22" s="81" t="s">
        <v>50</v>
      </c>
      <c r="C22" s="72" t="s">
        <v>51</v>
      </c>
      <c r="D22" s="73" t="s">
        <v>52</v>
      </c>
      <c r="E22" s="73"/>
      <c r="F22" s="73">
        <v>3</v>
      </c>
      <c r="G22" s="73" t="s">
        <v>30</v>
      </c>
      <c r="H22" s="72"/>
      <c r="I22" s="71" t="s">
        <v>45</v>
      </c>
    </row>
    <row r="23" spans="1:9" s="71" customFormat="1" ht="38.25">
      <c r="A23" s="73">
        <v>20</v>
      </c>
      <c r="B23" s="81" t="s">
        <v>50</v>
      </c>
      <c r="C23" s="72" t="s">
        <v>53</v>
      </c>
      <c r="D23" s="73" t="s">
        <v>42</v>
      </c>
      <c r="E23" s="73"/>
      <c r="F23" s="73">
        <v>2</v>
      </c>
      <c r="G23" s="73" t="s">
        <v>30</v>
      </c>
      <c r="H23" s="72"/>
      <c r="I23" s="71" t="s">
        <v>45</v>
      </c>
    </row>
    <row r="24" spans="1:9" s="71" customFormat="1" ht="51">
      <c r="A24" s="73">
        <v>21</v>
      </c>
      <c r="B24" s="81" t="s">
        <v>50</v>
      </c>
      <c r="C24" s="72" t="s">
        <v>54</v>
      </c>
      <c r="D24" s="73" t="s">
        <v>24</v>
      </c>
      <c r="E24" s="73"/>
      <c r="F24" s="73">
        <v>3</v>
      </c>
      <c r="G24" s="73" t="s">
        <v>25</v>
      </c>
      <c r="H24" s="72"/>
      <c r="I24" s="71" t="s">
        <v>45</v>
      </c>
    </row>
    <row r="25" spans="1:9" s="71" customFormat="1" ht="25.5">
      <c r="A25" s="73">
        <v>22</v>
      </c>
      <c r="B25" s="81" t="s">
        <v>50</v>
      </c>
      <c r="C25" s="72" t="s">
        <v>55</v>
      </c>
      <c r="D25" s="73" t="s">
        <v>24</v>
      </c>
      <c r="E25" s="73"/>
      <c r="F25" s="73">
        <v>3</v>
      </c>
      <c r="G25" s="73" t="s">
        <v>25</v>
      </c>
      <c r="H25" s="72"/>
      <c r="I25" s="71" t="s">
        <v>45</v>
      </c>
    </row>
    <row r="26" spans="1:9" s="71" customFormat="1" ht="38.25">
      <c r="A26" s="73">
        <v>23</v>
      </c>
      <c r="B26" s="81" t="s">
        <v>50</v>
      </c>
      <c r="C26" s="72" t="s">
        <v>56</v>
      </c>
      <c r="D26" s="73" t="s">
        <v>24</v>
      </c>
      <c r="E26" s="73"/>
      <c r="F26" s="73">
        <v>3</v>
      </c>
      <c r="G26" s="73" t="s">
        <v>32</v>
      </c>
      <c r="H26" s="72"/>
      <c r="I26" s="71" t="s">
        <v>45</v>
      </c>
    </row>
    <row r="27" spans="1:9" s="71" customFormat="1" ht="25.5">
      <c r="A27" s="73">
        <v>24</v>
      </c>
      <c r="B27" s="81" t="s">
        <v>50</v>
      </c>
      <c r="C27" s="72" t="s">
        <v>57</v>
      </c>
      <c r="D27" s="73" t="s">
        <v>52</v>
      </c>
      <c r="E27" s="73"/>
      <c r="F27" s="73">
        <v>2</v>
      </c>
      <c r="G27" s="73" t="s">
        <v>30</v>
      </c>
      <c r="H27" s="72"/>
      <c r="I27" s="71" t="s">
        <v>45</v>
      </c>
    </row>
    <row r="28" spans="1:9" s="71" customFormat="1" ht="25.5">
      <c r="A28" s="73">
        <v>25</v>
      </c>
      <c r="B28" s="81" t="s">
        <v>50</v>
      </c>
      <c r="C28" s="72" t="s">
        <v>58</v>
      </c>
      <c r="D28" s="73" t="s">
        <v>52</v>
      </c>
      <c r="E28" s="73"/>
      <c r="F28" s="73">
        <v>2</v>
      </c>
      <c r="G28" s="73" t="s">
        <v>32</v>
      </c>
      <c r="H28" s="72"/>
      <c r="I28" s="71" t="s">
        <v>45</v>
      </c>
    </row>
    <row r="29" spans="1:9" s="71" customFormat="1" ht="38.25">
      <c r="A29" s="73">
        <v>26</v>
      </c>
      <c r="B29" s="81" t="s">
        <v>50</v>
      </c>
      <c r="C29" s="72" t="s">
        <v>59</v>
      </c>
      <c r="D29" s="73" t="s">
        <v>24</v>
      </c>
      <c r="E29" s="73"/>
      <c r="F29" s="73">
        <v>3</v>
      </c>
      <c r="G29" s="73" t="s">
        <v>25</v>
      </c>
      <c r="H29" s="72"/>
      <c r="I29" s="71" t="s">
        <v>45</v>
      </c>
    </row>
    <row r="30" spans="1:9" s="71" customFormat="1">
      <c r="A30" s="73"/>
      <c r="B30" s="81"/>
      <c r="C30" s="72"/>
      <c r="D30" s="73"/>
      <c r="E30" s="73"/>
      <c r="F30" s="73"/>
      <c r="G30" s="73"/>
      <c r="H30" s="72"/>
    </row>
    <row r="31" spans="1:9" s="71" customFormat="1" ht="25.5">
      <c r="A31" s="73">
        <v>28</v>
      </c>
      <c r="B31" s="81" t="s">
        <v>43</v>
      </c>
      <c r="C31" s="72" t="s">
        <v>60</v>
      </c>
      <c r="D31" s="73" t="s">
        <v>42</v>
      </c>
      <c r="E31" s="73"/>
      <c r="F31" s="73">
        <v>1</v>
      </c>
      <c r="G31" s="73" t="s">
        <v>30</v>
      </c>
      <c r="H31" s="72"/>
      <c r="I31" s="71" t="s">
        <v>61</v>
      </c>
    </row>
    <row r="32" spans="1:9" s="71" customFormat="1" ht="25.5">
      <c r="A32" s="73">
        <v>29</v>
      </c>
      <c r="B32" s="81" t="s">
        <v>43</v>
      </c>
      <c r="C32" s="72" t="s">
        <v>62</v>
      </c>
      <c r="D32" s="73" t="s">
        <v>52</v>
      </c>
      <c r="E32" s="73"/>
      <c r="F32" s="73">
        <v>2</v>
      </c>
      <c r="G32" s="73" t="s">
        <v>32</v>
      </c>
      <c r="H32" s="72"/>
      <c r="I32" s="71" t="s">
        <v>61</v>
      </c>
    </row>
    <row r="33" spans="1:9" s="71" customFormat="1" ht="25.5">
      <c r="A33" s="73">
        <v>30</v>
      </c>
      <c r="B33" s="81" t="s">
        <v>43</v>
      </c>
      <c r="C33" s="72" t="s">
        <v>63</v>
      </c>
      <c r="D33" s="73" t="s">
        <v>42</v>
      </c>
      <c r="E33" s="73"/>
      <c r="F33" s="73">
        <v>2</v>
      </c>
      <c r="G33" s="73" t="s">
        <v>30</v>
      </c>
      <c r="H33" s="72"/>
      <c r="I33" s="71" t="s">
        <v>61</v>
      </c>
    </row>
    <row r="34" spans="1:9" s="71" customFormat="1" ht="25.5">
      <c r="A34" s="73">
        <v>31</v>
      </c>
      <c r="B34" s="81" t="s">
        <v>43</v>
      </c>
      <c r="C34" s="72" t="s">
        <v>64</v>
      </c>
      <c r="D34" s="73" t="s">
        <v>42</v>
      </c>
      <c r="E34" s="73"/>
      <c r="F34" s="73">
        <v>2</v>
      </c>
      <c r="G34" s="73" t="s">
        <v>25</v>
      </c>
      <c r="H34" s="74"/>
      <c r="I34" s="71" t="s">
        <v>61</v>
      </c>
    </row>
    <row r="35" spans="1:9" s="71" customFormat="1" ht="25.5">
      <c r="A35" s="73">
        <v>32</v>
      </c>
      <c r="B35" s="81" t="s">
        <v>43</v>
      </c>
      <c r="C35" s="72" t="s">
        <v>65</v>
      </c>
      <c r="D35" s="73" t="s">
        <v>24</v>
      </c>
      <c r="E35" s="73"/>
      <c r="F35" s="73">
        <v>3</v>
      </c>
      <c r="G35" s="73" t="s">
        <v>32</v>
      </c>
      <c r="H35" s="72"/>
      <c r="I35" s="71" t="s">
        <v>61</v>
      </c>
    </row>
    <row r="36" spans="1:9" s="71" customFormat="1">
      <c r="A36" s="73">
        <v>33</v>
      </c>
      <c r="B36" s="81"/>
      <c r="C36" s="72"/>
      <c r="D36" s="73"/>
      <c r="E36" s="73"/>
      <c r="F36" s="73"/>
      <c r="G36" s="73"/>
      <c r="H36" s="72"/>
      <c r="I36" s="71" t="s">
        <v>61</v>
      </c>
    </row>
    <row r="37" spans="1:9" s="71" customFormat="1" ht="25.5">
      <c r="A37" s="73">
        <v>34</v>
      </c>
      <c r="B37" s="81" t="s">
        <v>43</v>
      </c>
      <c r="C37" s="72" t="s">
        <v>66</v>
      </c>
      <c r="D37" s="73" t="s">
        <v>52</v>
      </c>
      <c r="E37" s="73"/>
      <c r="F37" s="73">
        <v>3</v>
      </c>
      <c r="G37" s="73" t="s">
        <v>32</v>
      </c>
      <c r="H37" s="72"/>
      <c r="I37" s="71" t="s">
        <v>61</v>
      </c>
    </row>
    <row r="38" spans="1:9" s="71" customFormat="1" ht="38.25">
      <c r="A38" s="73">
        <v>35</v>
      </c>
      <c r="B38" s="81" t="s">
        <v>43</v>
      </c>
      <c r="C38" s="72" t="s">
        <v>67</v>
      </c>
      <c r="D38" s="73" t="s">
        <v>42</v>
      </c>
      <c r="E38" s="73"/>
      <c r="F38" s="73">
        <v>2</v>
      </c>
      <c r="G38" s="73" t="s">
        <v>30</v>
      </c>
      <c r="H38" s="72"/>
      <c r="I38" s="71" t="s">
        <v>61</v>
      </c>
    </row>
    <row r="39" spans="1:9" s="71" customFormat="1" ht="38.25">
      <c r="A39" s="73">
        <v>36</v>
      </c>
      <c r="B39" s="81" t="s">
        <v>43</v>
      </c>
      <c r="C39" s="72" t="s">
        <v>68</v>
      </c>
      <c r="D39" s="73" t="s">
        <v>24</v>
      </c>
      <c r="E39" s="73"/>
      <c r="F39" s="73">
        <v>3</v>
      </c>
      <c r="G39" s="73" t="s">
        <v>25</v>
      </c>
      <c r="H39" s="72"/>
      <c r="I39" s="71" t="s">
        <v>61</v>
      </c>
    </row>
    <row r="40" spans="1:9" s="71" customFormat="1" ht="38.25">
      <c r="A40" s="73">
        <v>37</v>
      </c>
      <c r="B40" s="81" t="s">
        <v>43</v>
      </c>
      <c r="C40" s="72" t="s">
        <v>69</v>
      </c>
      <c r="D40" s="73" t="s">
        <v>24</v>
      </c>
      <c r="E40" s="73"/>
      <c r="F40" s="73">
        <v>3</v>
      </c>
      <c r="G40" s="73" t="s">
        <v>25</v>
      </c>
      <c r="H40" s="72"/>
      <c r="I40" s="71" t="s">
        <v>61</v>
      </c>
    </row>
    <row r="41" spans="1:9" s="71" customFormat="1" ht="25.5">
      <c r="A41" s="73">
        <v>38</v>
      </c>
      <c r="B41" s="81" t="s">
        <v>43</v>
      </c>
      <c r="C41" s="72" t="s">
        <v>70</v>
      </c>
      <c r="D41" s="73" t="s">
        <v>24</v>
      </c>
      <c r="E41" s="73"/>
      <c r="F41" s="73">
        <v>3</v>
      </c>
      <c r="G41" s="73" t="s">
        <v>30</v>
      </c>
      <c r="H41" s="72"/>
      <c r="I41" s="71" t="s">
        <v>61</v>
      </c>
    </row>
    <row r="42" spans="1:9" s="71" customFormat="1" ht="25.5">
      <c r="A42" s="73">
        <v>39</v>
      </c>
      <c r="B42" s="81" t="s">
        <v>43</v>
      </c>
      <c r="C42" s="72" t="s">
        <v>71</v>
      </c>
      <c r="D42" s="73" t="s">
        <v>24</v>
      </c>
      <c r="E42" s="73"/>
      <c r="F42" s="73">
        <v>3</v>
      </c>
      <c r="G42" s="73" t="s">
        <v>25</v>
      </c>
      <c r="H42" s="72"/>
      <c r="I42" s="71" t="s">
        <v>61</v>
      </c>
    </row>
    <row r="43" spans="1:9" s="71" customFormat="1">
      <c r="A43" s="73"/>
      <c r="B43" s="81"/>
      <c r="C43" s="72"/>
      <c r="D43" s="73"/>
      <c r="E43" s="73"/>
      <c r="F43" s="73"/>
      <c r="G43" s="73"/>
      <c r="H43" s="72"/>
    </row>
    <row r="44" spans="1:9" s="71" customFormat="1" ht="25.5">
      <c r="A44" s="73">
        <v>40</v>
      </c>
      <c r="B44" s="81" t="s">
        <v>72</v>
      </c>
      <c r="C44" s="72" t="s">
        <v>73</v>
      </c>
      <c r="D44" s="73" t="s">
        <v>42</v>
      </c>
      <c r="E44" s="73"/>
      <c r="F44" s="73">
        <v>2</v>
      </c>
      <c r="G44" s="73" t="s">
        <v>25</v>
      </c>
      <c r="H44" s="72"/>
      <c r="I44" s="71" t="s">
        <v>26</v>
      </c>
    </row>
    <row r="45" spans="1:9" s="71" customFormat="1" ht="25.5">
      <c r="A45" s="73">
        <v>41</v>
      </c>
      <c r="B45" s="81" t="s">
        <v>72</v>
      </c>
      <c r="C45" s="72" t="s">
        <v>74</v>
      </c>
      <c r="D45" s="73" t="s">
        <v>42</v>
      </c>
      <c r="E45" s="73"/>
      <c r="F45" s="73">
        <v>2</v>
      </c>
      <c r="G45" s="73" t="s">
        <v>32</v>
      </c>
      <c r="H45" s="72"/>
      <c r="I45" s="71" t="s">
        <v>26</v>
      </c>
    </row>
    <row r="46" spans="1:9" s="71" customFormat="1" ht="38.25">
      <c r="A46" s="73">
        <v>42</v>
      </c>
      <c r="B46" s="81" t="s">
        <v>72</v>
      </c>
      <c r="C46" s="72" t="s">
        <v>75</v>
      </c>
      <c r="D46" s="73" t="s">
        <v>24</v>
      </c>
      <c r="E46" s="73"/>
      <c r="F46" s="73">
        <v>3</v>
      </c>
      <c r="G46" s="73" t="s">
        <v>25</v>
      </c>
      <c r="H46" s="72"/>
      <c r="I46" s="71" t="s">
        <v>26</v>
      </c>
    </row>
    <row r="47" spans="1:9" s="71" customFormat="1" ht="38.25">
      <c r="A47" s="73">
        <v>43</v>
      </c>
      <c r="B47" s="81" t="s">
        <v>72</v>
      </c>
      <c r="C47" s="72" t="s">
        <v>76</v>
      </c>
      <c r="D47" s="73" t="s">
        <v>24</v>
      </c>
      <c r="E47" s="73"/>
      <c r="F47" s="73">
        <v>3</v>
      </c>
      <c r="G47" s="73" t="s">
        <v>32</v>
      </c>
      <c r="H47" s="72"/>
      <c r="I47" s="71" t="s">
        <v>26</v>
      </c>
    </row>
    <row r="48" spans="1:9" s="71" customFormat="1">
      <c r="A48" s="73"/>
      <c r="B48" s="81"/>
      <c r="C48" s="72"/>
      <c r="D48" s="73"/>
      <c r="E48" s="73"/>
      <c r="F48" s="73"/>
      <c r="G48" s="73"/>
      <c r="H48" s="72"/>
    </row>
    <row r="49" spans="1:9" s="71" customFormat="1">
      <c r="A49" s="73"/>
      <c r="B49" s="81"/>
      <c r="C49" s="72"/>
      <c r="D49" s="73"/>
      <c r="E49" s="73"/>
      <c r="F49" s="73"/>
      <c r="G49" s="73"/>
      <c r="H49" s="72"/>
    </row>
    <row r="50" spans="1:9" s="71" customFormat="1" ht="25.5">
      <c r="A50" s="73">
        <v>44</v>
      </c>
      <c r="B50" s="81" t="s">
        <v>77</v>
      </c>
      <c r="C50" s="72" t="s">
        <v>78</v>
      </c>
      <c r="D50" s="73" t="s">
        <v>42</v>
      </c>
      <c r="E50" s="73"/>
      <c r="F50" s="73">
        <v>2</v>
      </c>
      <c r="G50" s="73" t="s">
        <v>32</v>
      </c>
      <c r="H50" s="72"/>
      <c r="I50" s="71" t="s">
        <v>45</v>
      </c>
    </row>
    <row r="51" spans="1:9" s="71" customFormat="1" ht="25.5">
      <c r="A51" s="73">
        <v>45</v>
      </c>
      <c r="B51" s="81" t="s">
        <v>77</v>
      </c>
      <c r="C51" s="72" t="s">
        <v>79</v>
      </c>
      <c r="D51" s="73" t="s">
        <v>42</v>
      </c>
      <c r="E51" s="73"/>
      <c r="F51" s="73">
        <v>2</v>
      </c>
      <c r="G51" s="73" t="s">
        <v>30</v>
      </c>
      <c r="H51" s="72"/>
      <c r="I51" s="71" t="s">
        <v>45</v>
      </c>
    </row>
    <row r="52" spans="1:9" s="71" customFormat="1" ht="25.5">
      <c r="A52" s="73">
        <v>46</v>
      </c>
      <c r="B52" s="81" t="s">
        <v>77</v>
      </c>
      <c r="C52" s="72" t="s">
        <v>80</v>
      </c>
      <c r="D52" s="73" t="s">
        <v>24</v>
      </c>
      <c r="E52" s="73"/>
      <c r="F52" s="73">
        <v>3</v>
      </c>
      <c r="G52" s="73" t="s">
        <v>25</v>
      </c>
      <c r="H52" s="72"/>
      <c r="I52" s="71" t="s">
        <v>26</v>
      </c>
    </row>
    <row r="53" spans="1:9" s="71" customFormat="1" ht="25.5">
      <c r="A53" s="73">
        <v>47</v>
      </c>
      <c r="B53" s="81" t="s">
        <v>77</v>
      </c>
      <c r="C53" s="72" t="s">
        <v>81</v>
      </c>
      <c r="D53" s="73" t="s">
        <v>24</v>
      </c>
      <c r="E53" s="73"/>
      <c r="F53" s="73">
        <v>3</v>
      </c>
      <c r="G53" s="73" t="s">
        <v>25</v>
      </c>
      <c r="H53" s="72"/>
      <c r="I53" s="71" t="s">
        <v>45</v>
      </c>
    </row>
    <row r="54" spans="1:9" s="71" customFormat="1" ht="25.5">
      <c r="A54" s="73">
        <v>48</v>
      </c>
      <c r="B54" s="81" t="s">
        <v>77</v>
      </c>
      <c r="C54" s="72" t="s">
        <v>82</v>
      </c>
      <c r="D54" s="73" t="s">
        <v>42</v>
      </c>
      <c r="E54" s="73"/>
      <c r="F54" s="73">
        <v>1</v>
      </c>
      <c r="G54" s="73" t="s">
        <v>30</v>
      </c>
      <c r="H54" s="72"/>
      <c r="I54" s="71" t="s">
        <v>26</v>
      </c>
    </row>
    <row r="55" spans="1:9" s="71" customFormat="1" ht="38.25">
      <c r="A55" s="73">
        <v>49</v>
      </c>
      <c r="B55" s="81" t="s">
        <v>77</v>
      </c>
      <c r="C55" s="72" t="s">
        <v>83</v>
      </c>
      <c r="D55" s="73" t="s">
        <v>42</v>
      </c>
      <c r="E55" s="73"/>
      <c r="F55" s="73">
        <v>1</v>
      </c>
      <c r="G55" s="73" t="s">
        <v>30</v>
      </c>
      <c r="H55" s="72"/>
      <c r="I55" s="71" t="s">
        <v>26</v>
      </c>
    </row>
    <row r="56" spans="1:9" s="71" customFormat="1" ht="25.5">
      <c r="A56" s="73">
        <v>50</v>
      </c>
      <c r="B56" s="81" t="s">
        <v>77</v>
      </c>
      <c r="C56" s="72" t="s">
        <v>84</v>
      </c>
      <c r="D56" s="73" t="s">
        <v>24</v>
      </c>
      <c r="E56" s="73"/>
      <c r="F56" s="73">
        <v>2</v>
      </c>
      <c r="G56" s="73" t="s">
        <v>30</v>
      </c>
      <c r="H56" s="72"/>
      <c r="I56" s="71" t="s">
        <v>45</v>
      </c>
    </row>
    <row r="57" spans="1:9" s="71" customFormat="1">
      <c r="A57" s="73"/>
      <c r="B57" s="81"/>
      <c r="C57" s="72"/>
      <c r="D57" s="73"/>
      <c r="E57" s="73"/>
      <c r="F57" s="73"/>
      <c r="G57" s="73"/>
      <c r="H57" s="72"/>
    </row>
    <row r="58" spans="1:9" s="71" customFormat="1">
      <c r="A58" s="73"/>
      <c r="B58" s="81"/>
      <c r="C58" s="72"/>
      <c r="D58" s="73"/>
      <c r="E58" s="73"/>
      <c r="F58" s="73"/>
      <c r="G58" s="73"/>
      <c r="H58" s="72"/>
    </row>
    <row r="59" spans="1:9" s="71" customFormat="1">
      <c r="A59" s="73"/>
      <c r="B59" s="81"/>
      <c r="C59" s="72"/>
      <c r="D59" s="73"/>
      <c r="E59" s="73"/>
      <c r="F59" s="73"/>
      <c r="G59" s="73"/>
      <c r="H59" s="72"/>
    </row>
    <row r="60" spans="1:9" s="71" customFormat="1">
      <c r="A60" s="73"/>
      <c r="B60" s="81"/>
      <c r="C60" s="72"/>
      <c r="D60" s="73"/>
      <c r="E60" s="73"/>
      <c r="F60" s="73"/>
      <c r="G60" s="73"/>
      <c r="H60" s="72"/>
    </row>
    <row r="61" spans="1:9" s="71" customFormat="1">
      <c r="A61" s="73"/>
      <c r="B61" s="81"/>
      <c r="C61" s="72"/>
      <c r="D61" s="73"/>
      <c r="E61" s="73"/>
      <c r="F61" s="73"/>
      <c r="G61" s="73"/>
      <c r="H61" s="72"/>
    </row>
    <row r="62" spans="1:9" s="71" customFormat="1">
      <c r="A62" s="73"/>
      <c r="B62" s="81"/>
      <c r="C62" s="72"/>
      <c r="D62" s="73"/>
      <c r="E62" s="73"/>
      <c r="F62" s="73"/>
      <c r="G62" s="73"/>
      <c r="H62" s="72"/>
    </row>
    <row r="63" spans="1:9" s="71" customFormat="1">
      <c r="A63" s="73"/>
      <c r="B63" s="81"/>
      <c r="C63" s="72"/>
      <c r="D63" s="73"/>
      <c r="E63" s="73"/>
      <c r="F63" s="73"/>
      <c r="G63" s="73"/>
      <c r="H63" s="72"/>
    </row>
    <row r="64" spans="1:9" s="71" customFormat="1">
      <c r="A64" s="73"/>
      <c r="B64" s="81"/>
      <c r="C64" s="72"/>
      <c r="D64" s="73"/>
      <c r="E64" s="73"/>
      <c r="F64" s="73"/>
      <c r="G64" s="73"/>
      <c r="H64" s="72"/>
    </row>
    <row r="65" spans="1:8" s="71" customFormat="1">
      <c r="A65" s="73"/>
      <c r="B65" s="81"/>
      <c r="C65" s="72"/>
      <c r="D65" s="73"/>
      <c r="E65" s="73"/>
      <c r="F65" s="73"/>
      <c r="G65" s="73"/>
      <c r="H65" s="72"/>
    </row>
    <row r="66" spans="1:8" s="71" customFormat="1">
      <c r="A66" s="73"/>
      <c r="B66" s="81"/>
      <c r="C66" s="72"/>
      <c r="D66" s="73"/>
      <c r="E66" s="73"/>
      <c r="F66" s="73"/>
      <c r="G66" s="73"/>
      <c r="H66" s="72"/>
    </row>
    <row r="67" spans="1:8" s="77" customFormat="1">
      <c r="A67" s="75"/>
      <c r="B67" s="82"/>
      <c r="C67" s="76"/>
      <c r="D67" s="75"/>
      <c r="E67" s="75"/>
      <c r="F67" s="75"/>
      <c r="G67" s="75"/>
      <c r="H67" s="76"/>
    </row>
    <row r="68" spans="1:8" s="77" customFormat="1">
      <c r="A68" s="75"/>
      <c r="B68" s="82"/>
      <c r="C68" s="76"/>
      <c r="D68" s="75"/>
      <c r="E68" s="75"/>
      <c r="F68" s="75"/>
      <c r="G68" s="75"/>
      <c r="H68" s="76"/>
    </row>
    <row r="69" spans="1:8" s="77" customFormat="1">
      <c r="A69" s="75"/>
      <c r="B69" s="82"/>
      <c r="C69" s="76"/>
      <c r="D69" s="75"/>
      <c r="E69" s="75"/>
      <c r="F69" s="75"/>
      <c r="G69" s="75"/>
      <c r="H69" s="76"/>
    </row>
  </sheetData>
  <phoneticPr fontId="2" type="noConversion"/>
  <conditionalFormatting sqref="A4:H4 A57:H135 A43:C43 C38:C42 A49:C49 H8:H13 C7:C13 A7:A12 E7:G30 C32:C36 H15:H33 E32:G43 C46:C48 H44:H48 A44:B48 E45:G48 C17:C21 C23:C30 A13:B42 A50:B50 A51:C56 E49:H56 D5:D56">
    <cfRule type="expression" dxfId="69" priority="119" stopIfTrue="1">
      <formula>$D4="Done"</formula>
    </cfRule>
    <cfRule type="expression" dxfId="68" priority="120" stopIfTrue="1">
      <formula>$D4="Ongoing"</formula>
    </cfRule>
    <cfRule type="expression" dxfId="67" priority="121" stopIfTrue="1">
      <formula>$D4="Removed"</formula>
    </cfRule>
  </conditionalFormatting>
  <conditionalFormatting sqref="H34:H43">
    <cfRule type="expression" dxfId="66" priority="125" stopIfTrue="1">
      <formula>#REF!="Done"</formula>
    </cfRule>
    <cfRule type="expression" dxfId="65" priority="126" stopIfTrue="1">
      <formula>#REF!="Ongoing"</formula>
    </cfRule>
    <cfRule type="expression" dxfId="64" priority="127" stopIfTrue="1">
      <formula>#REF!="Removed"</formula>
    </cfRule>
  </conditionalFormatting>
  <conditionalFormatting sqref="H14">
    <cfRule type="expression" dxfId="63" priority="128" stopIfTrue="1">
      <formula>#REF!="Done"</formula>
    </cfRule>
    <cfRule type="expression" dxfId="62" priority="129" stopIfTrue="1">
      <formula>#REF!="Ongoing"</formula>
    </cfRule>
    <cfRule type="expression" dxfId="61" priority="130" stopIfTrue="1">
      <formula>#REF!="Removed"</formula>
    </cfRule>
  </conditionalFormatting>
  <conditionalFormatting sqref="I4">
    <cfRule type="expression" dxfId="60" priority="116" stopIfTrue="1">
      <formula>$D4="Done"</formula>
    </cfRule>
    <cfRule type="expression" dxfId="59" priority="117" stopIfTrue="1">
      <formula>$D4="Ongoing"</formula>
    </cfRule>
    <cfRule type="expression" dxfId="58" priority="118" stopIfTrue="1">
      <formula>$D4="Removed"</formula>
    </cfRule>
  </conditionalFormatting>
  <conditionalFormatting sqref="A5:B6">
    <cfRule type="expression" dxfId="57" priority="18" stopIfTrue="1">
      <formula>$E5="Done"</formula>
    </cfRule>
    <cfRule type="expression" dxfId="56" priority="19" stopIfTrue="1">
      <formula>$E5="Ongoing"</formula>
    </cfRule>
  </conditionalFormatting>
  <conditionalFormatting sqref="E5:G5">
    <cfRule type="expression" dxfId="55" priority="6" stopIfTrue="1">
      <formula>$D5="Done"</formula>
    </cfRule>
    <cfRule type="expression" dxfId="54" priority="7" stopIfTrue="1">
      <formula>$D5="Ongoing"</formula>
    </cfRule>
    <cfRule type="expression" dxfId="53" priority="8" stopIfTrue="1">
      <formula>$D5="Removed"</formula>
    </cfRule>
  </conditionalFormatting>
  <conditionalFormatting sqref="B7:B12">
    <cfRule type="expression" dxfId="52" priority="4" stopIfTrue="1">
      <formula>$E7="Done"</formula>
    </cfRule>
    <cfRule type="expression" dxfId="51" priority="5" stopIfTrue="1">
      <formula>$E7="Ongoing"</formula>
    </cfRule>
  </conditionalFormatting>
  <dataValidations count="1">
    <dataValidation type="list" allowBlank="1" showInputMessage="1" sqref="D4:D135" xr:uid="{00000000-0002-0000-0100-000000000000}">
      <formula1>"Planned,Ongoing,Done,Removed"</formula1>
    </dataValidation>
  </dataValidations>
  <pageMargins left="0.78740157499999996" right="0.78740157499999996" top="0.984251969" bottom="0.984251969" header="0.5" footer="0.5"/>
  <pageSetup paperSize="9" scale="8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9525</xdr:colOff>
                    <xdr:row>0</xdr:row>
                    <xdr:rowOff>95250</xdr:rowOff>
                  </from>
                  <to>
                    <xdr:col>7</xdr:col>
                    <xdr:colOff>171450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workbookViewId="0">
      <selection activeCell="AD15" sqref="AD15"/>
    </sheetView>
  </sheetViews>
  <sheetFormatPr defaultRowHeight="12.75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>
      <c r="A1" s="44" t="s">
        <v>85</v>
      </c>
    </row>
    <row r="3" spans="1:26">
      <c r="A3" t="s">
        <v>86</v>
      </c>
      <c r="D3">
        <f>20*3</f>
        <v>60</v>
      </c>
      <c r="F3" t="s">
        <v>87</v>
      </c>
      <c r="G3" s="45">
        <f>IF(COUNT(B28:B39)=0,1,COUNT(B28:B39))</f>
        <v>1</v>
      </c>
    </row>
    <row r="4" spans="1:26">
      <c r="A4" s="65" t="s">
        <v>88</v>
      </c>
      <c r="D4">
        <v>3</v>
      </c>
      <c r="E4" t="s">
        <v>89</v>
      </c>
      <c r="F4" t="s">
        <v>90</v>
      </c>
      <c r="G4" s="45">
        <f>IF(COUNT(D28:D51)=0,1,COUNT(D28:D51)+1)</f>
        <v>1</v>
      </c>
    </row>
    <row r="5" spans="1:26">
      <c r="F5" t="s">
        <v>91</v>
      </c>
      <c r="G5" s="45">
        <f>IF(G4&gt;D4,G4-D4,0)</f>
        <v>0</v>
      </c>
      <c r="Z5" s="30" t="s">
        <v>92</v>
      </c>
    </row>
    <row r="6" spans="1:26">
      <c r="A6" s="1" t="s">
        <v>93</v>
      </c>
      <c r="D6">
        <v>20</v>
      </c>
      <c r="F6" t="s">
        <v>94</v>
      </c>
      <c r="G6" s="45">
        <f>TrendSprintCount-TrendOffset</f>
        <v>1</v>
      </c>
      <c r="Z6" s="30" t="s">
        <v>95</v>
      </c>
    </row>
    <row r="7" spans="1:26">
      <c r="A7" t="s">
        <v>96</v>
      </c>
      <c r="D7">
        <v>60</v>
      </c>
      <c r="Z7" s="30" t="s">
        <v>97</v>
      </c>
    </row>
    <row r="8" spans="1:26">
      <c r="A8" s="87">
        <f>D$4</f>
        <v>3</v>
      </c>
      <c r="B8" s="87"/>
      <c r="D8" s="48" t="str">
        <f ca="1">IF(D28="","",AVERAGE(OFFSET(D27,TrendOffset,0,SprintsInTrend,1)))</f>
        <v/>
      </c>
      <c r="Z8" s="30" t="s">
        <v>98</v>
      </c>
    </row>
    <row r="9" spans="1:26">
      <c r="A9" t="s">
        <v>99</v>
      </c>
      <c r="D9" s="48" t="str">
        <f ca="1">IF(D28="","",AVERAGE(OFFSET(D27,1,0,SprintCount,1)))</f>
        <v/>
      </c>
      <c r="F9" t="s">
        <v>100</v>
      </c>
      <c r="G9" s="45">
        <f ca="1">IF(M28="",1,COUNT(M28:M110))</f>
        <v>1</v>
      </c>
      <c r="Z9" s="30" t="s">
        <v>101</v>
      </c>
    </row>
    <row r="10" spans="1:26">
      <c r="A10" t="s">
        <v>102</v>
      </c>
      <c r="D10" s="48" t="str">
        <f ca="1">IF(D28="","",AVERAGE(LastEight))</f>
        <v/>
      </c>
      <c r="Z10" s="30" t="s">
        <v>103</v>
      </c>
    </row>
    <row r="11" spans="1:26">
      <c r="A11" t="s">
        <v>104</v>
      </c>
      <c r="D11" s="48" t="str">
        <f ca="1">IF(D28="","",IF(TrendSprintCount&lt;4,D10,AVERAGE(SMALL(LastEight,1),SMALL(LastEight,2),SMALL(LastEight,3))))</f>
        <v/>
      </c>
      <c r="Z11" s="30" t="s">
        <v>105</v>
      </c>
    </row>
    <row r="12" spans="1:26">
      <c r="A12" t="s">
        <v>106</v>
      </c>
      <c r="D12" s="48" t="str">
        <f ca="1">IF(M29="","",M28-M29)</f>
        <v/>
      </c>
      <c r="Z12" s="30" t="s">
        <v>107</v>
      </c>
    </row>
    <row r="13" spans="1:26">
      <c r="F13" s="46" t="s">
        <v>108</v>
      </c>
      <c r="Z13" s="30" t="s">
        <v>109</v>
      </c>
    </row>
    <row r="14" spans="1:26">
      <c r="A14" s="1" t="s">
        <v>110</v>
      </c>
    </row>
    <row r="15" spans="1:26">
      <c r="A15" t="s">
        <v>111</v>
      </c>
      <c r="D15" s="49">
        <f>IF(D7="",0,ROUNDUP(D3/D7*0.6,0))</f>
        <v>1</v>
      </c>
    </row>
    <row r="16" spans="1:26">
      <c r="A16" t="s">
        <v>112</v>
      </c>
      <c r="D16" s="49">
        <f>IF(D7="",0,ROUNDUP(D3/D7,0))</f>
        <v>1</v>
      </c>
    </row>
    <row r="17" spans="1:17">
      <c r="A17" t="s">
        <v>113</v>
      </c>
      <c r="D17" s="49">
        <f>IF(D7="",0,ROUNDUP(D3/D7*1.6,0))</f>
        <v>2</v>
      </c>
      <c r="F17" t="s">
        <v>114</v>
      </c>
      <c r="G17">
        <f>IF(OR(D28="",D29=""),1,STDEV(D28:D51))</f>
        <v>1</v>
      </c>
    </row>
    <row r="18" spans="1:17">
      <c r="A18" s="87">
        <f>D$4</f>
        <v>3</v>
      </c>
      <c r="B18" s="87"/>
      <c r="D18" s="49" t="str">
        <f ca="1">IF(D8="","",IF(LastRealized="",ROUNDUP(LastPlanned/D8,0)+SprintCount-1,ROUNDUP((LastPlanned-LastRealized)/D8+SprintCount,0)))</f>
        <v/>
      </c>
    </row>
    <row r="19" spans="1:17">
      <c r="A19" t="s">
        <v>115</v>
      </c>
      <c r="D19" s="49" t="str">
        <f ca="1">IF(D9="","",IF(LastRealized="",ROUNDUP(LastPlanned/D9+SprintCount-1,0),ROUNDUP((LastPlanned-LastRealized)/D9,0)+SprintCount))</f>
        <v/>
      </c>
      <c r="F19" t="s">
        <v>116</v>
      </c>
      <c r="G19">
        <f ca="1">LastPlanned</f>
        <v>1</v>
      </c>
    </row>
    <row r="20" spans="1:17">
      <c r="A20" t="s">
        <v>102</v>
      </c>
      <c r="D20" s="49" t="str">
        <f ca="1">IF(D10="","",IF(LastRealized="",ROUNDUP(LastPlanned/D10+SprintCount-1,0),ROUNDUP((LastPlanned-LastRealized)/D10,0)+SprintCount))</f>
        <v/>
      </c>
      <c r="F20" t="s">
        <v>117</v>
      </c>
      <c r="G20">
        <f ca="1">LastRealized</f>
        <v>1</v>
      </c>
    </row>
    <row r="21" spans="1:17">
      <c r="A21" t="s">
        <v>104</v>
      </c>
      <c r="D21" s="49" t="str">
        <f ca="1">IF(D11="","",IF(LastRealized="",ROUNDUP(LastPlanned/D11+SprintCount-1,0),ROUNDUP((LastPlanned-LastRealized)/D11,0)+SprintCount))</f>
        <v/>
      </c>
    </row>
    <row r="22" spans="1:17">
      <c r="A22" t="s">
        <v>106</v>
      </c>
      <c r="D22" s="49" t="str">
        <f ca="1">IF(COUNT(M28:M51)-1&gt;0,COUNT(M28:M51)-1,"")</f>
        <v/>
      </c>
    </row>
    <row r="23" spans="1:17">
      <c r="A23" t="s">
        <v>118</v>
      </c>
      <c r="D23" s="49" t="str">
        <f ca="1">IF(D9="","",IF(LastRealized="",ROUNDUP(LastPlanned/(D9+G17)+SprintCount-1,0),ROUNDUP((LastPlanned-LastRealized)/(D9+G17)+SprintCount,0)))</f>
        <v/>
      </c>
    </row>
    <row r="24" spans="1:17">
      <c r="A24" t="s">
        <v>119</v>
      </c>
      <c r="D24" s="49" t="str">
        <f ca="1">IF(D9="","",IF(LastRealized="",ROUNDUP(LastPlanned/(D9-G17)+SprintCount-1,0),ROUNDUP((LastPlanned-LastRealized)/(D9-G17)+SprintCount,0)))</f>
        <v/>
      </c>
    </row>
    <row r="26" spans="1:17" ht="12.75" customHeight="1">
      <c r="F26" s="89" t="s">
        <v>106</v>
      </c>
      <c r="G26" s="89"/>
      <c r="H26" s="89"/>
      <c r="I26" s="89"/>
      <c r="J26" s="89"/>
      <c r="K26" s="89"/>
      <c r="L26" s="89"/>
      <c r="M26" s="89"/>
      <c r="N26" s="89"/>
      <c r="O26" s="89" t="s">
        <v>120</v>
      </c>
      <c r="P26" s="89"/>
      <c r="Q26" s="89"/>
    </row>
    <row r="27" spans="1:17" ht="26.25" thickBot="1">
      <c r="A27" s="50" t="s">
        <v>11</v>
      </c>
      <c r="B27" s="51" t="s">
        <v>121</v>
      </c>
      <c r="C27" s="51" t="s">
        <v>122</v>
      </c>
      <c r="D27" s="52" t="s">
        <v>123</v>
      </c>
      <c r="E27" s="52" t="s">
        <v>124</v>
      </c>
      <c r="F27" s="53" t="s">
        <v>125</v>
      </c>
      <c r="G27" s="88" t="s">
        <v>126</v>
      </c>
      <c r="H27" s="88"/>
      <c r="I27" s="53" t="s">
        <v>127</v>
      </c>
      <c r="J27" s="54"/>
      <c r="K27" s="53" t="s">
        <v>128</v>
      </c>
      <c r="L27" s="53" t="s">
        <v>129</v>
      </c>
      <c r="M27" s="53" t="s">
        <v>130</v>
      </c>
      <c r="N27" s="55" t="s">
        <v>131</v>
      </c>
      <c r="O27" s="53" t="s">
        <v>132</v>
      </c>
      <c r="P27" s="53" t="s">
        <v>133</v>
      </c>
      <c r="Q27" s="53" t="s">
        <v>134</v>
      </c>
    </row>
    <row r="28" spans="1:17">
      <c r="A28" s="47">
        <v>1</v>
      </c>
      <c r="B28" s="2"/>
      <c r="C28" s="2"/>
      <c r="D28" s="2"/>
      <c r="E28" s="47">
        <f>B28</f>
        <v>0</v>
      </c>
      <c r="F28" s="45">
        <f>B28</f>
        <v>0</v>
      </c>
      <c r="G28" s="45">
        <f t="shared" ref="G28:G51" si="0">F28</f>
        <v>0</v>
      </c>
      <c r="H28" s="45">
        <f t="shared" ref="H28:H33" si="1">I28</f>
        <v>0</v>
      </c>
      <c r="I28" s="45">
        <v>0</v>
      </c>
      <c r="K28">
        <f t="shared" ref="K28:K33" si="2">IF(F28&lt;I28,I28,F28)</f>
        <v>0</v>
      </c>
      <c r="L28" s="4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0</v>
      </c>
      <c r="M28" s="45">
        <f ca="1">L28</f>
        <v>0</v>
      </c>
      <c r="N28" s="45">
        <f t="shared" ref="N28:N51" ca="1" si="4">OFFSET($I$27,TrendSprintCount,0,1,1)</f>
        <v>0</v>
      </c>
      <c r="O28" s="56" t="str">
        <f t="shared" ref="O28:O51" ca="1" si="5">D$9</f>
        <v/>
      </c>
      <c r="P28" s="56" t="str">
        <f t="shared" ref="P28:P51" ca="1" si="6">D$10</f>
        <v/>
      </c>
      <c r="Q28" s="56" t="str">
        <f t="shared" ref="Q28:Q51" ca="1" si="7">D$11</f>
        <v/>
      </c>
    </row>
    <row r="29" spans="1:17">
      <c r="A29" s="47">
        <v>2</v>
      </c>
      <c r="B29" s="2"/>
      <c r="C29" s="2"/>
      <c r="D29" s="2"/>
      <c r="E29" s="47" t="str">
        <f>IF(B29="","",IF(D28="",E28,B29+SUM(D$28:D28)))</f>
        <v/>
      </c>
      <c r="F29" s="45" t="str">
        <f t="shared" ref="F29:F34" si="8">IF(B29="",IF(B28="","",IF(D28="","",I28)),IF(AND(D28="",C28=""),"",IF(AND(D28="",C28&lt;&gt;""),IF(I28&gt;F28,F28,I28),F28-D28)))</f>
        <v/>
      </c>
      <c r="G29" s="45" t="str">
        <f t="shared" si="0"/>
        <v/>
      </c>
      <c r="H29" s="45" t="str">
        <f t="shared" si="1"/>
        <v/>
      </c>
      <c r="I29" s="4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45">
        <f t="shared" ca="1" si="3"/>
        <v>0</v>
      </c>
      <c r="M29" s="45" t="str">
        <f ca="1">IF(L29=L28,"",L29)</f>
        <v/>
      </c>
      <c r="N29" s="45">
        <f t="shared" ca="1" si="4"/>
        <v>0</v>
      </c>
      <c r="O29" s="56" t="str">
        <f t="shared" ca="1" si="5"/>
        <v/>
      </c>
      <c r="P29" s="56" t="str">
        <f t="shared" ca="1" si="6"/>
        <v/>
      </c>
      <c r="Q29" s="56" t="str">
        <f t="shared" ca="1" si="7"/>
        <v/>
      </c>
    </row>
    <row r="30" spans="1:17">
      <c r="A30" s="47">
        <v>3</v>
      </c>
      <c r="B30" s="2"/>
      <c r="C30" s="2"/>
      <c r="D30" s="2"/>
      <c r="E30" s="47" t="str">
        <f>IF(B30="","",IF(D29="",E29,B30+SUM(D$28:D29)))</f>
        <v/>
      </c>
      <c r="F30" s="45" t="str">
        <f t="shared" si="8"/>
        <v/>
      </c>
      <c r="G30" s="45" t="str">
        <f t="shared" si="0"/>
        <v/>
      </c>
      <c r="H30" s="45" t="str">
        <f t="shared" si="1"/>
        <v/>
      </c>
      <c r="I30" s="4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45">
        <f t="shared" ca="1" si="3"/>
        <v>0</v>
      </c>
      <c r="M30" s="45" t="str">
        <f t="shared" ref="M30:M51" ca="1" si="9">IF(L30=L29,"",L30)</f>
        <v/>
      </c>
      <c r="N30" s="45">
        <f t="shared" ca="1" si="4"/>
        <v>0</v>
      </c>
      <c r="O30" s="56" t="str">
        <f t="shared" ca="1" si="5"/>
        <v/>
      </c>
      <c r="P30" s="56" t="str">
        <f t="shared" ca="1" si="6"/>
        <v/>
      </c>
      <c r="Q30" s="56" t="str">
        <f t="shared" ca="1" si="7"/>
        <v/>
      </c>
    </row>
    <row r="31" spans="1:17">
      <c r="A31" s="47">
        <v>4</v>
      </c>
      <c r="B31" s="2" t="str">
        <f t="shared" ref="B31:B51" si="10">IF(OR(B30="",C30=""),"",IF(D30="",IF(B30-C30&lt;=0,"",B30-C30),IF(B30-D30&lt;=0,"",B30-D30)))</f>
        <v/>
      </c>
      <c r="C31" s="2"/>
      <c r="D31" s="2"/>
      <c r="E31" s="47" t="str">
        <f>IF(B31="","",IF(D30="",E30,B31+SUM(D$28:D30)))</f>
        <v/>
      </c>
      <c r="F31" s="45" t="str">
        <f t="shared" si="8"/>
        <v/>
      </c>
      <c r="G31" s="45" t="str">
        <f t="shared" si="0"/>
        <v/>
      </c>
      <c r="H31" s="45" t="str">
        <f t="shared" si="1"/>
        <v/>
      </c>
      <c r="I31" s="4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45">
        <f t="shared" ca="1" si="3"/>
        <v>0</v>
      </c>
      <c r="M31" s="45" t="str">
        <f t="shared" ca="1" si="9"/>
        <v/>
      </c>
      <c r="N31" s="45">
        <f t="shared" ca="1" si="4"/>
        <v>0</v>
      </c>
      <c r="O31" s="56" t="str">
        <f t="shared" ca="1" si="5"/>
        <v/>
      </c>
      <c r="P31" s="56" t="str">
        <f t="shared" ca="1" si="6"/>
        <v/>
      </c>
      <c r="Q31" s="56" t="str">
        <f t="shared" ca="1" si="7"/>
        <v/>
      </c>
    </row>
    <row r="32" spans="1:17">
      <c r="A32" s="47">
        <v>5</v>
      </c>
      <c r="B32" s="2" t="str">
        <f>IF(OR(B31="",C31=""),"",IF(D31="",IF(B31-C31&lt;=0,"",B31-C31),IF(B31-D31&lt;=0,"",B31-D31)))</f>
        <v/>
      </c>
      <c r="C32" s="2"/>
      <c r="D32" s="2"/>
      <c r="E32" s="47" t="str">
        <f>IF(B32="","",IF(D31="",E31,B32+SUM(D$28:D31)))</f>
        <v/>
      </c>
      <c r="F32" s="45" t="str">
        <f t="shared" si="8"/>
        <v/>
      </c>
      <c r="G32" s="45" t="str">
        <f t="shared" si="0"/>
        <v/>
      </c>
      <c r="H32" s="45" t="str">
        <f t="shared" si="1"/>
        <v/>
      </c>
      <c r="I32" s="4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45">
        <f t="shared" ca="1" si="3"/>
        <v>0</v>
      </c>
      <c r="M32" s="45" t="str">
        <f t="shared" ca="1" si="9"/>
        <v/>
      </c>
      <c r="N32" s="45">
        <f t="shared" ca="1" si="4"/>
        <v>0</v>
      </c>
      <c r="O32" s="56" t="str">
        <f t="shared" ca="1" si="5"/>
        <v/>
      </c>
      <c r="P32" s="56" t="str">
        <f t="shared" ca="1" si="6"/>
        <v/>
      </c>
      <c r="Q32" s="56" t="str">
        <f t="shared" ca="1" si="7"/>
        <v/>
      </c>
    </row>
    <row r="33" spans="1:17">
      <c r="A33" s="47">
        <v>6</v>
      </c>
      <c r="B33" s="2" t="str">
        <f>IF(OR(B32="",C32=""),"",IF(D32="",IF(B32-C32&lt;=0,"",B32-C32),IF(B32-D32&lt;=0,"",B32-D32)))</f>
        <v/>
      </c>
      <c r="C33" s="2"/>
      <c r="D33" s="2"/>
      <c r="E33" s="47" t="str">
        <f>IF(B33="","",IF(D32="",E32,B33+SUM(D$28:D32)))</f>
        <v/>
      </c>
      <c r="F33" s="45" t="str">
        <f t="shared" si="8"/>
        <v/>
      </c>
      <c r="G33" s="45" t="str">
        <f t="shared" si="0"/>
        <v/>
      </c>
      <c r="H33" s="45" t="str">
        <f t="shared" si="1"/>
        <v/>
      </c>
      <c r="I33" s="4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45">
        <f t="shared" ca="1" si="3"/>
        <v>0</v>
      </c>
      <c r="M33" s="45" t="str">
        <f t="shared" ca="1" si="9"/>
        <v/>
      </c>
      <c r="N33" s="45">
        <f t="shared" ca="1" si="4"/>
        <v>0</v>
      </c>
      <c r="O33" s="56" t="str">
        <f t="shared" ca="1" si="5"/>
        <v/>
      </c>
      <c r="P33" s="56" t="str">
        <f t="shared" ca="1" si="6"/>
        <v/>
      </c>
      <c r="Q33" s="56" t="str">
        <f t="shared" ca="1" si="7"/>
        <v/>
      </c>
    </row>
    <row r="34" spans="1:17">
      <c r="A34" s="47">
        <v>7</v>
      </c>
      <c r="B34" s="2" t="str">
        <f>IF(OR(B33="",C33=""),"",IF(D33="",IF(B33-C33&lt;=0,"",B33-C33),IF(B33-D33&lt;=0,"",B33-D33)))</f>
        <v/>
      </c>
      <c r="C34" s="2"/>
      <c r="D34" s="2"/>
      <c r="E34" s="47" t="str">
        <f>IF(B34="","",IF(D33="",E33,B34+SUM(D$28:D33)))</f>
        <v/>
      </c>
      <c r="F34" s="45" t="str">
        <f t="shared" si="8"/>
        <v/>
      </c>
      <c r="G34" s="45" t="str">
        <f t="shared" si="0"/>
        <v/>
      </c>
      <c r="H34" s="45" t="str">
        <f t="shared" ref="H34:H51" si="11">I34</f>
        <v/>
      </c>
      <c r="I34" s="4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45">
        <f t="shared" ca="1" si="3"/>
        <v>0</v>
      </c>
      <c r="M34" s="45" t="str">
        <f t="shared" ca="1" si="9"/>
        <v/>
      </c>
      <c r="N34" s="45">
        <f t="shared" ca="1" si="4"/>
        <v>0</v>
      </c>
      <c r="O34" s="56" t="str">
        <f t="shared" ca="1" si="5"/>
        <v/>
      </c>
      <c r="P34" s="56" t="str">
        <f t="shared" ca="1" si="6"/>
        <v/>
      </c>
      <c r="Q34" s="56" t="str">
        <f t="shared" ca="1" si="7"/>
        <v/>
      </c>
    </row>
    <row r="35" spans="1:17">
      <c r="A35" s="47">
        <v>8</v>
      </c>
      <c r="B35" s="2" t="str">
        <f t="shared" si="10"/>
        <v/>
      </c>
      <c r="C35" s="2"/>
      <c r="D35" s="2"/>
      <c r="E35" s="47" t="str">
        <f>IF(B35="","",IF(D34="",E34,B35+SUM(D$28:D34)))</f>
        <v/>
      </c>
      <c r="F35" s="45" t="str">
        <f t="shared" ref="F35:F51" si="13">IF(B35="",IF(B34="","",IF(D34="","",I34)),IF(AND(D34="",C34=""),"",IF(AND(D34="",C34&lt;&gt;""),IF(I34&gt;F34,F34,I34),F34-D34)))</f>
        <v/>
      </c>
      <c r="G35" s="45" t="str">
        <f t="shared" si="0"/>
        <v/>
      </c>
      <c r="H35" s="45" t="str">
        <f t="shared" si="11"/>
        <v/>
      </c>
      <c r="I35" s="4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45">
        <f t="shared" ca="1" si="3"/>
        <v>0</v>
      </c>
      <c r="M35" s="45" t="str">
        <f t="shared" ca="1" si="9"/>
        <v/>
      </c>
      <c r="N35" s="45">
        <f t="shared" ca="1" si="4"/>
        <v>0</v>
      </c>
      <c r="O35" s="56" t="str">
        <f t="shared" ca="1" si="5"/>
        <v/>
      </c>
      <c r="P35" s="56" t="str">
        <f t="shared" ca="1" si="6"/>
        <v/>
      </c>
      <c r="Q35" s="56" t="str">
        <f t="shared" ca="1" si="7"/>
        <v/>
      </c>
    </row>
    <row r="36" spans="1:17">
      <c r="A36" s="47">
        <v>9</v>
      </c>
      <c r="B36" s="2" t="str">
        <f t="shared" si="10"/>
        <v/>
      </c>
      <c r="C36" s="2"/>
      <c r="D36" s="2"/>
      <c r="E36" s="47" t="str">
        <f>IF(B36="","",IF(D35="",E35,B36+SUM(D$28:D35)))</f>
        <v/>
      </c>
      <c r="F36" s="45" t="str">
        <f t="shared" si="13"/>
        <v/>
      </c>
      <c r="G36" s="45" t="str">
        <f t="shared" si="0"/>
        <v/>
      </c>
      <c r="H36" s="45" t="str">
        <f t="shared" si="11"/>
        <v/>
      </c>
      <c r="I36" s="4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45">
        <f t="shared" ca="1" si="3"/>
        <v>0</v>
      </c>
      <c r="M36" s="45" t="str">
        <f t="shared" ca="1" si="9"/>
        <v/>
      </c>
      <c r="N36" s="45">
        <f t="shared" ca="1" si="4"/>
        <v>0</v>
      </c>
      <c r="O36" s="56" t="str">
        <f t="shared" ca="1" si="5"/>
        <v/>
      </c>
      <c r="P36" s="56" t="str">
        <f t="shared" ca="1" si="6"/>
        <v/>
      </c>
      <c r="Q36" s="56" t="str">
        <f t="shared" ca="1" si="7"/>
        <v/>
      </c>
    </row>
    <row r="37" spans="1:17">
      <c r="A37" s="47">
        <v>10</v>
      </c>
      <c r="B37" s="2" t="str">
        <f t="shared" si="10"/>
        <v/>
      </c>
      <c r="C37" s="2"/>
      <c r="D37" s="2"/>
      <c r="E37" s="47" t="str">
        <f>IF(B37="","",IF(D36="",E36,B37+SUM(D$28:D36)))</f>
        <v/>
      </c>
      <c r="F37" s="45" t="str">
        <f t="shared" si="13"/>
        <v/>
      </c>
      <c r="G37" s="45" t="str">
        <f t="shared" si="0"/>
        <v/>
      </c>
      <c r="H37" s="45" t="str">
        <f t="shared" si="11"/>
        <v/>
      </c>
      <c r="I37" s="4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45">
        <f t="shared" ca="1" si="3"/>
        <v>0</v>
      </c>
      <c r="M37" s="45" t="str">
        <f t="shared" ca="1" si="9"/>
        <v/>
      </c>
      <c r="N37" s="45">
        <f t="shared" ca="1" si="4"/>
        <v>0</v>
      </c>
      <c r="O37" s="56" t="str">
        <f t="shared" ca="1" si="5"/>
        <v/>
      </c>
      <c r="P37" s="56" t="str">
        <f t="shared" ca="1" si="6"/>
        <v/>
      </c>
      <c r="Q37" s="56" t="str">
        <f t="shared" ca="1" si="7"/>
        <v/>
      </c>
    </row>
    <row r="38" spans="1:17">
      <c r="A38" s="47">
        <v>11</v>
      </c>
      <c r="B38" s="2" t="str">
        <f t="shared" si="10"/>
        <v/>
      </c>
      <c r="C38" s="2"/>
      <c r="D38" s="2"/>
      <c r="E38" s="47" t="str">
        <f>IF(B38="","",IF(D37="",E37,B38+SUM(D$28:D37)))</f>
        <v/>
      </c>
      <c r="F38" s="45" t="str">
        <f t="shared" si="13"/>
        <v/>
      </c>
      <c r="G38" s="45" t="str">
        <f t="shared" si="0"/>
        <v/>
      </c>
      <c r="H38" s="45" t="str">
        <f t="shared" si="11"/>
        <v/>
      </c>
      <c r="I38" s="4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45">
        <f t="shared" ca="1" si="3"/>
        <v>0</v>
      </c>
      <c r="M38" s="45" t="str">
        <f t="shared" ca="1" si="9"/>
        <v/>
      </c>
      <c r="N38" s="45">
        <f t="shared" ca="1" si="4"/>
        <v>0</v>
      </c>
      <c r="O38" s="56" t="str">
        <f t="shared" ca="1" si="5"/>
        <v/>
      </c>
      <c r="P38" s="56" t="str">
        <f t="shared" ca="1" si="6"/>
        <v/>
      </c>
      <c r="Q38" s="56" t="str">
        <f t="shared" ca="1" si="7"/>
        <v/>
      </c>
    </row>
    <row r="39" spans="1:17">
      <c r="A39" s="47">
        <v>12</v>
      </c>
      <c r="B39" s="2" t="str">
        <f t="shared" si="10"/>
        <v/>
      </c>
      <c r="C39" s="2"/>
      <c r="D39" s="2"/>
      <c r="E39" s="47" t="str">
        <f>IF(B39="","",IF(D38="",E38,B39+SUM(D$28:D38)))</f>
        <v/>
      </c>
      <c r="F39" s="45" t="str">
        <f t="shared" si="13"/>
        <v/>
      </c>
      <c r="G39" s="45" t="str">
        <f t="shared" si="0"/>
        <v/>
      </c>
      <c r="H39" s="45" t="str">
        <f t="shared" si="11"/>
        <v/>
      </c>
      <c r="I39" s="4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45">
        <f t="shared" ca="1" si="3"/>
        <v>0</v>
      </c>
      <c r="M39" s="45" t="str">
        <f t="shared" ca="1" si="9"/>
        <v/>
      </c>
      <c r="N39" s="45">
        <f t="shared" ca="1" si="4"/>
        <v>0</v>
      </c>
      <c r="O39" s="56" t="str">
        <f t="shared" ca="1" si="5"/>
        <v/>
      </c>
      <c r="P39" s="56" t="str">
        <f t="shared" ca="1" si="6"/>
        <v/>
      </c>
      <c r="Q39" s="56" t="str">
        <f t="shared" ca="1" si="7"/>
        <v/>
      </c>
    </row>
    <row r="40" spans="1:17">
      <c r="A40" s="47">
        <v>13</v>
      </c>
      <c r="B40" s="2" t="str">
        <f t="shared" si="10"/>
        <v/>
      </c>
      <c r="C40" s="2"/>
      <c r="E40" s="47" t="str">
        <f>IF(B40="","",IF(D39="",E39,B40+SUM(D$28:D39)))</f>
        <v/>
      </c>
      <c r="F40" s="45" t="str">
        <f t="shared" si="13"/>
        <v/>
      </c>
      <c r="G40" s="45" t="str">
        <f t="shared" si="0"/>
        <v/>
      </c>
      <c r="H40" s="45" t="str">
        <f t="shared" si="11"/>
        <v/>
      </c>
      <c r="I40" s="4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45">
        <f t="shared" ca="1" si="3"/>
        <v>0</v>
      </c>
      <c r="M40" s="45" t="str">
        <f t="shared" ca="1" si="9"/>
        <v/>
      </c>
      <c r="N40" s="45">
        <f t="shared" ca="1" si="4"/>
        <v>0</v>
      </c>
      <c r="O40" s="56" t="str">
        <f t="shared" ca="1" si="5"/>
        <v/>
      </c>
      <c r="P40" s="56" t="str">
        <f t="shared" ca="1" si="6"/>
        <v/>
      </c>
      <c r="Q40" s="56" t="str">
        <f t="shared" ca="1" si="7"/>
        <v/>
      </c>
    </row>
    <row r="41" spans="1:17">
      <c r="A41" s="47">
        <v>14</v>
      </c>
      <c r="B41" s="2" t="str">
        <f t="shared" si="10"/>
        <v/>
      </c>
      <c r="C41" s="2"/>
      <c r="E41" s="47" t="str">
        <f>IF(B41="","",IF(D40="",E40,B41+SUM(D$28:D40)))</f>
        <v/>
      </c>
      <c r="F41" s="45" t="str">
        <f t="shared" si="13"/>
        <v/>
      </c>
      <c r="G41" s="45" t="str">
        <f t="shared" si="0"/>
        <v/>
      </c>
      <c r="H41" s="45" t="str">
        <f t="shared" si="11"/>
        <v/>
      </c>
      <c r="I41" s="4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45">
        <f t="shared" ca="1" si="3"/>
        <v>0</v>
      </c>
      <c r="M41" s="45" t="str">
        <f t="shared" ca="1" si="9"/>
        <v/>
      </c>
      <c r="N41" s="45">
        <f t="shared" ca="1" si="4"/>
        <v>0</v>
      </c>
      <c r="O41" s="56" t="str">
        <f t="shared" ca="1" si="5"/>
        <v/>
      </c>
      <c r="P41" s="56" t="str">
        <f t="shared" ca="1" si="6"/>
        <v/>
      </c>
      <c r="Q41" s="56" t="str">
        <f t="shared" ca="1" si="7"/>
        <v/>
      </c>
    </row>
    <row r="42" spans="1:17">
      <c r="A42" s="47">
        <v>15</v>
      </c>
      <c r="B42" s="2" t="str">
        <f t="shared" si="10"/>
        <v/>
      </c>
      <c r="C42" s="2"/>
      <c r="E42" s="47" t="str">
        <f>IF(B42="","",IF(D41="",E41,B42+SUM(D$28:D41)))</f>
        <v/>
      </c>
      <c r="F42" s="45" t="str">
        <f t="shared" si="13"/>
        <v/>
      </c>
      <c r="G42" s="45" t="str">
        <f t="shared" si="0"/>
        <v/>
      </c>
      <c r="H42" s="45" t="str">
        <f t="shared" si="11"/>
        <v/>
      </c>
      <c r="I42" s="4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45">
        <f t="shared" ca="1" si="3"/>
        <v>0</v>
      </c>
      <c r="M42" s="45" t="str">
        <f t="shared" ca="1" si="9"/>
        <v/>
      </c>
      <c r="N42" s="45">
        <f t="shared" ca="1" si="4"/>
        <v>0</v>
      </c>
      <c r="O42" s="56" t="str">
        <f t="shared" ca="1" si="5"/>
        <v/>
      </c>
      <c r="P42" s="56" t="str">
        <f t="shared" ca="1" si="6"/>
        <v/>
      </c>
      <c r="Q42" s="56" t="str">
        <f t="shared" ca="1" si="7"/>
        <v/>
      </c>
    </row>
    <row r="43" spans="1:17">
      <c r="A43" s="47">
        <v>16</v>
      </c>
      <c r="B43" s="2" t="str">
        <f t="shared" si="10"/>
        <v/>
      </c>
      <c r="C43" s="2"/>
      <c r="E43" s="47" t="str">
        <f>IF(B43="","",IF(D42="",E42,B43+SUM(D$28:D42)))</f>
        <v/>
      </c>
      <c r="F43" s="45" t="str">
        <f t="shared" si="13"/>
        <v/>
      </c>
      <c r="G43" s="45" t="str">
        <f t="shared" si="0"/>
        <v/>
      </c>
      <c r="H43" s="45" t="str">
        <f t="shared" si="11"/>
        <v/>
      </c>
      <c r="I43" s="4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45">
        <f t="shared" ca="1" si="3"/>
        <v>0</v>
      </c>
      <c r="M43" s="45" t="str">
        <f t="shared" ca="1" si="9"/>
        <v/>
      </c>
      <c r="N43" s="45">
        <f t="shared" ca="1" si="4"/>
        <v>0</v>
      </c>
      <c r="O43" s="56" t="str">
        <f t="shared" ca="1" si="5"/>
        <v/>
      </c>
      <c r="P43" s="56" t="str">
        <f t="shared" ca="1" si="6"/>
        <v/>
      </c>
      <c r="Q43" s="56" t="str">
        <f t="shared" ca="1" si="7"/>
        <v/>
      </c>
    </row>
    <row r="44" spans="1:17">
      <c r="A44" s="47">
        <v>17</v>
      </c>
      <c r="B44" s="2" t="str">
        <f t="shared" si="10"/>
        <v/>
      </c>
      <c r="C44" s="2"/>
      <c r="E44" s="47" t="str">
        <f>IF(B44="","",IF(D43="",E43,B44+SUM(D$28:D43)))</f>
        <v/>
      </c>
      <c r="F44" s="45" t="str">
        <f t="shared" si="13"/>
        <v/>
      </c>
      <c r="G44" s="45" t="str">
        <f t="shared" si="0"/>
        <v/>
      </c>
      <c r="H44" s="45" t="str">
        <f t="shared" si="11"/>
        <v/>
      </c>
      <c r="I44" s="4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45">
        <f t="shared" ca="1" si="3"/>
        <v>0</v>
      </c>
      <c r="M44" s="45" t="str">
        <f t="shared" ca="1" si="9"/>
        <v/>
      </c>
      <c r="N44" s="45">
        <f t="shared" ca="1" si="4"/>
        <v>0</v>
      </c>
      <c r="O44" s="56" t="str">
        <f t="shared" ca="1" si="5"/>
        <v/>
      </c>
      <c r="P44" s="56" t="str">
        <f t="shared" ca="1" si="6"/>
        <v/>
      </c>
      <c r="Q44" s="56" t="str">
        <f t="shared" ca="1" si="7"/>
        <v/>
      </c>
    </row>
    <row r="45" spans="1:17">
      <c r="A45" s="47">
        <v>18</v>
      </c>
      <c r="B45" s="2" t="str">
        <f t="shared" si="10"/>
        <v/>
      </c>
      <c r="C45" s="2"/>
      <c r="E45" s="47" t="str">
        <f>IF(B45="","",IF(D44="",E44,B45+SUM(D$28:D44)))</f>
        <v/>
      </c>
      <c r="F45" s="45" t="str">
        <f t="shared" si="13"/>
        <v/>
      </c>
      <c r="G45" s="45" t="str">
        <f t="shared" si="0"/>
        <v/>
      </c>
      <c r="H45" s="45" t="str">
        <f t="shared" si="11"/>
        <v/>
      </c>
      <c r="I45" s="4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45">
        <f t="shared" ca="1" si="3"/>
        <v>0</v>
      </c>
      <c r="M45" s="45" t="str">
        <f t="shared" ca="1" si="9"/>
        <v/>
      </c>
      <c r="N45" s="45">
        <f t="shared" ca="1" si="4"/>
        <v>0</v>
      </c>
      <c r="O45" s="56" t="str">
        <f t="shared" ca="1" si="5"/>
        <v/>
      </c>
      <c r="P45" s="56" t="str">
        <f t="shared" ca="1" si="6"/>
        <v/>
      </c>
      <c r="Q45" s="56" t="str">
        <f t="shared" ca="1" si="7"/>
        <v/>
      </c>
    </row>
    <row r="46" spans="1:17">
      <c r="A46" s="47">
        <v>19</v>
      </c>
      <c r="B46" s="2" t="str">
        <f t="shared" si="10"/>
        <v/>
      </c>
      <c r="C46" s="2"/>
      <c r="E46" s="47" t="str">
        <f>IF(B46="","",IF(D45="",E45,B46+SUM(D$28:D45)))</f>
        <v/>
      </c>
      <c r="F46" s="45" t="str">
        <f t="shared" si="13"/>
        <v/>
      </c>
      <c r="G46" s="45" t="str">
        <f t="shared" si="0"/>
        <v/>
      </c>
      <c r="H46" s="45" t="str">
        <f t="shared" si="11"/>
        <v/>
      </c>
      <c r="I46" s="4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45">
        <f t="shared" ca="1" si="3"/>
        <v>0</v>
      </c>
      <c r="M46" s="45" t="str">
        <f t="shared" ca="1" si="9"/>
        <v/>
      </c>
      <c r="N46" s="45">
        <f t="shared" ca="1" si="4"/>
        <v>0</v>
      </c>
      <c r="O46" s="56" t="str">
        <f t="shared" ca="1" si="5"/>
        <v/>
      </c>
      <c r="P46" s="56" t="str">
        <f t="shared" ca="1" si="6"/>
        <v/>
      </c>
      <c r="Q46" s="56" t="str">
        <f t="shared" ca="1" si="7"/>
        <v/>
      </c>
    </row>
    <row r="47" spans="1:17">
      <c r="A47" s="47">
        <v>20</v>
      </c>
      <c r="B47" s="2" t="str">
        <f t="shared" si="10"/>
        <v/>
      </c>
      <c r="C47" s="2"/>
      <c r="E47" s="47" t="str">
        <f>IF(B47="","",IF(D46="",E46,B47+SUM(D$28:D46)))</f>
        <v/>
      </c>
      <c r="F47" s="45" t="str">
        <f t="shared" si="13"/>
        <v/>
      </c>
      <c r="G47" s="45" t="str">
        <f t="shared" si="0"/>
        <v/>
      </c>
      <c r="H47" s="45" t="str">
        <f t="shared" si="11"/>
        <v/>
      </c>
      <c r="I47" s="4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45">
        <f t="shared" ca="1" si="3"/>
        <v>0</v>
      </c>
      <c r="M47" s="45" t="str">
        <f t="shared" ca="1" si="9"/>
        <v/>
      </c>
      <c r="N47" s="45">
        <f t="shared" ca="1" si="4"/>
        <v>0</v>
      </c>
      <c r="O47" s="56" t="str">
        <f t="shared" ca="1" si="5"/>
        <v/>
      </c>
      <c r="P47" s="56" t="str">
        <f t="shared" ca="1" si="6"/>
        <v/>
      </c>
      <c r="Q47" s="56" t="str">
        <f t="shared" ca="1" si="7"/>
        <v/>
      </c>
    </row>
    <row r="48" spans="1:17">
      <c r="A48" s="47">
        <v>21</v>
      </c>
      <c r="B48" s="2" t="str">
        <f t="shared" si="10"/>
        <v/>
      </c>
      <c r="C48" s="2"/>
      <c r="E48" s="47" t="str">
        <f>IF(B48="","",IF(D47="",E47,B48+SUM(D$28:D47)))</f>
        <v/>
      </c>
      <c r="F48" s="45" t="str">
        <f t="shared" si="13"/>
        <v/>
      </c>
      <c r="G48" s="45" t="str">
        <f t="shared" si="0"/>
        <v/>
      </c>
      <c r="H48" s="45" t="str">
        <f t="shared" si="11"/>
        <v/>
      </c>
      <c r="I48" s="4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45">
        <f t="shared" ca="1" si="3"/>
        <v>0</v>
      </c>
      <c r="M48" s="45" t="str">
        <f t="shared" ca="1" si="9"/>
        <v/>
      </c>
      <c r="N48" s="45">
        <f t="shared" ca="1" si="4"/>
        <v>0</v>
      </c>
      <c r="O48" s="56" t="str">
        <f t="shared" ca="1" si="5"/>
        <v/>
      </c>
      <c r="P48" s="56" t="str">
        <f t="shared" ca="1" si="6"/>
        <v/>
      </c>
      <c r="Q48" s="56" t="str">
        <f t="shared" ca="1" si="7"/>
        <v/>
      </c>
    </row>
    <row r="49" spans="1:17">
      <c r="A49" s="47">
        <v>22</v>
      </c>
      <c r="B49" s="2" t="str">
        <f t="shared" si="10"/>
        <v/>
      </c>
      <c r="C49" s="2"/>
      <c r="E49" s="47" t="str">
        <f>IF(B49="","",IF(D48="",E48,B49+SUM(D$28:D48)))</f>
        <v/>
      </c>
      <c r="F49" s="45" t="str">
        <f t="shared" si="13"/>
        <v/>
      </c>
      <c r="G49" s="45" t="str">
        <f t="shared" si="0"/>
        <v/>
      </c>
      <c r="H49" s="45" t="str">
        <f t="shared" si="11"/>
        <v/>
      </c>
      <c r="I49" s="4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45">
        <f t="shared" ca="1" si="3"/>
        <v>0</v>
      </c>
      <c r="M49" s="45" t="str">
        <f t="shared" ca="1" si="9"/>
        <v/>
      </c>
      <c r="N49" s="45">
        <f t="shared" ca="1" si="4"/>
        <v>0</v>
      </c>
      <c r="O49" s="56" t="str">
        <f t="shared" ca="1" si="5"/>
        <v/>
      </c>
      <c r="P49" s="56" t="str">
        <f t="shared" ca="1" si="6"/>
        <v/>
      </c>
      <c r="Q49" s="56" t="str">
        <f t="shared" ca="1" si="7"/>
        <v/>
      </c>
    </row>
    <row r="50" spans="1:17">
      <c r="A50" s="47">
        <v>23</v>
      </c>
      <c r="B50" s="2" t="str">
        <f t="shared" si="10"/>
        <v/>
      </c>
      <c r="C50" s="2"/>
      <c r="E50" s="47" t="str">
        <f>IF(B50="","",IF(D49="",E49,B50+SUM(D$28:D49)))</f>
        <v/>
      </c>
      <c r="F50" s="45" t="str">
        <f t="shared" si="13"/>
        <v/>
      </c>
      <c r="G50" s="45" t="str">
        <f t="shared" si="0"/>
        <v/>
      </c>
      <c r="H50" s="45" t="str">
        <f t="shared" si="11"/>
        <v/>
      </c>
      <c r="I50" s="4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45">
        <f t="shared" ca="1" si="3"/>
        <v>0</v>
      </c>
      <c r="M50" s="45" t="str">
        <f t="shared" ca="1" si="9"/>
        <v/>
      </c>
      <c r="N50" s="45">
        <f t="shared" ca="1" si="4"/>
        <v>0</v>
      </c>
      <c r="O50" s="56" t="str">
        <f t="shared" ca="1" si="5"/>
        <v/>
      </c>
      <c r="P50" s="56" t="str">
        <f t="shared" ca="1" si="6"/>
        <v/>
      </c>
      <c r="Q50" s="56" t="str">
        <f t="shared" ca="1" si="7"/>
        <v/>
      </c>
    </row>
    <row r="51" spans="1:17">
      <c r="A51" s="47">
        <v>24</v>
      </c>
      <c r="B51" s="2" t="str">
        <f t="shared" si="10"/>
        <v/>
      </c>
      <c r="C51" s="2"/>
      <c r="E51" s="47" t="str">
        <f>IF(B51="","",IF(D50="",E50,B51+SUM(D$28:D50)))</f>
        <v/>
      </c>
      <c r="F51" s="45" t="str">
        <f t="shared" si="13"/>
        <v/>
      </c>
      <c r="G51" s="45" t="str">
        <f t="shared" si="0"/>
        <v/>
      </c>
      <c r="H51" s="45" t="str">
        <f t="shared" si="11"/>
        <v/>
      </c>
      <c r="I51" s="4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45">
        <f t="shared" ca="1" si="3"/>
        <v>0</v>
      </c>
      <c r="M51" s="45" t="str">
        <f t="shared" ca="1" si="9"/>
        <v/>
      </c>
      <c r="N51" s="45">
        <f t="shared" ca="1" si="4"/>
        <v>0</v>
      </c>
      <c r="O51" s="56" t="str">
        <f t="shared" ca="1" si="5"/>
        <v/>
      </c>
      <c r="P51" s="56" t="str">
        <f t="shared" ca="1" si="6"/>
        <v/>
      </c>
      <c r="Q51" s="56" t="str">
        <f t="shared" ca="1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50" priority="1" stopIfTrue="1">
      <formula>$D26="Done"</formula>
    </cfRule>
    <cfRule type="expression" dxfId="49" priority="2" stopIfTrue="1">
      <formula>$D26="Ongoing"</formula>
    </cfRule>
    <cfRule type="expression" dxfId="48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AD69"/>
  <sheetViews>
    <sheetView tabSelected="1" zoomScaleNormal="100" workbookViewId="0">
      <pane ySplit="14" topLeftCell="A15" activePane="bottomLeft" state="frozen"/>
      <selection pane="bottomLeft" activeCell="A4" sqref="A4"/>
    </sheetView>
  </sheetViews>
  <sheetFormatPr defaultRowHeight="12.75"/>
  <cols>
    <col min="1" max="1" width="78.140625" style="29" customWidth="1"/>
    <col min="2" max="2" width="8.5703125" style="28" customWidth="1"/>
    <col min="3" max="3" width="13.7109375" style="29" customWidth="1"/>
    <col min="4" max="4" width="10.85546875" style="29" customWidth="1"/>
    <col min="5" max="5" width="6.5703125" style="28" customWidth="1"/>
    <col min="6" max="30" width="4.42578125" style="28" customWidth="1"/>
    <col min="31" max="256" width="11.42578125" style="29" customWidth="1"/>
    <col min="257" max="16384" width="9.140625" style="29"/>
  </cols>
  <sheetData>
    <row r="1" spans="1:30" ht="18">
      <c r="A1" s="83">
        <v>1</v>
      </c>
      <c r="B1" s="84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0"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</row>
    <row r="9" spans="1:30">
      <c r="A9" s="57" t="s">
        <v>135</v>
      </c>
      <c r="C9" s="57"/>
      <c r="D9" s="58"/>
      <c r="E9" s="57" t="s">
        <v>136</v>
      </c>
      <c r="F9" s="57" t="s">
        <v>137</v>
      </c>
      <c r="G9" s="57"/>
      <c r="H9" s="57"/>
      <c r="I9" s="57"/>
      <c r="J9" s="57"/>
      <c r="K9" s="57"/>
      <c r="L9" s="57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</row>
    <row r="10" spans="1:30">
      <c r="A10" s="57" t="s">
        <v>138</v>
      </c>
      <c r="C10" s="57" t="s">
        <v>3</v>
      </c>
      <c r="D10" s="57" t="s">
        <v>139</v>
      </c>
      <c r="E10" s="59">
        <f ca="1">SUM(OFFSET(E14,1,0,TaskRows,1))</f>
        <v>94</v>
      </c>
      <c r="F10" s="59">
        <f ca="1">IF(AND(SUM(OFFSET(F14,1,0,TaskRows,1))=0),0,SUM(OFFSET(F14,1,0,TaskRows,1)))</f>
        <v>0</v>
      </c>
      <c r="G10" s="59">
        <f t="shared" ref="G10:AD10" ca="1" si="0">IF(AND(SUM(OFFSET(G14,1,0,TaskRows,1))=0),"",SUM(OFFSET(G14,1,0,TaskRows,1)))</f>
        <v>42</v>
      </c>
      <c r="H10" s="59" t="str">
        <f t="shared" ca="1" si="0"/>
        <v/>
      </c>
      <c r="I10" s="59" t="str">
        <f t="shared" ca="1" si="0"/>
        <v/>
      </c>
      <c r="J10" s="59" t="str">
        <f t="shared" ca="1" si="0"/>
        <v/>
      </c>
      <c r="K10" s="59" t="str">
        <f t="shared" ca="1" si="0"/>
        <v/>
      </c>
      <c r="L10" s="59" t="str">
        <f t="shared" ca="1" si="0"/>
        <v/>
      </c>
      <c r="M10" s="59" t="str">
        <f t="shared" ca="1" si="0"/>
        <v/>
      </c>
      <c r="N10" s="59" t="str">
        <f t="shared" ca="1" si="0"/>
        <v/>
      </c>
      <c r="O10" s="59" t="str">
        <f t="shared" ca="1" si="0"/>
        <v/>
      </c>
      <c r="P10" s="59" t="str">
        <f t="shared" ca="1" si="0"/>
        <v/>
      </c>
      <c r="Q10" s="59" t="str">
        <f t="shared" ca="1" si="0"/>
        <v/>
      </c>
      <c r="R10" s="59" t="str">
        <f t="shared" ca="1" si="0"/>
        <v/>
      </c>
      <c r="S10" s="59" t="str">
        <f t="shared" ca="1" si="0"/>
        <v/>
      </c>
      <c r="T10" s="59" t="str">
        <f t="shared" ca="1" si="0"/>
        <v/>
      </c>
      <c r="U10" s="59" t="str">
        <f t="shared" ca="1" si="0"/>
        <v/>
      </c>
      <c r="V10" s="59" t="str">
        <f t="shared" ca="1" si="0"/>
        <v/>
      </c>
      <c r="W10" s="59" t="str">
        <f t="shared" ca="1" si="0"/>
        <v/>
      </c>
      <c r="X10" s="59" t="str">
        <f t="shared" ca="1" si="0"/>
        <v/>
      </c>
      <c r="Y10" s="59" t="str">
        <f t="shared" ca="1" si="0"/>
        <v/>
      </c>
      <c r="Z10" s="59" t="str">
        <f t="shared" ca="1" si="0"/>
        <v/>
      </c>
      <c r="AA10" s="59" t="str">
        <f t="shared" ca="1" si="0"/>
        <v/>
      </c>
      <c r="AB10" s="59" t="str">
        <f t="shared" ca="1" si="0"/>
        <v/>
      </c>
      <c r="AC10" s="59" t="str">
        <f t="shared" ca="1" si="0"/>
        <v/>
      </c>
      <c r="AD10" s="59" t="str">
        <f t="shared" ca="1" si="0"/>
        <v/>
      </c>
    </row>
    <row r="11" spans="1:30" customFormat="1" hidden="1">
      <c r="A11" t="s">
        <v>140</v>
      </c>
      <c r="B11" s="2">
        <f>IF(COUNTA(A15:A224)=0,1,COUNTA(A15:A224))</f>
        <v>30</v>
      </c>
      <c r="C11" t="s">
        <v>141</v>
      </c>
      <c r="D11" s="2">
        <f ca="1">IF(COUNTIF(F10:AD10,"&gt;0")=0,1,COUNTIF(F10:AD10,"&gt;0"))</f>
        <v>1</v>
      </c>
      <c r="E11" s="2"/>
      <c r="F11" s="2">
        <f ca="1">IF(F14="","",$E10-$E10/($B9-1)*(F14-1))</f>
        <v>94</v>
      </c>
      <c r="G11" s="2" t="e">
        <f t="shared" ref="G11:AD11" ca="1" si="1">IF(G14="","",TotalEffort-TotalEffort/(ImplementationDays)*(G14-1))</f>
        <v>#DIV/0!</v>
      </c>
      <c r="H11" s="2" t="e">
        <f t="shared" ca="1" si="1"/>
        <v>#DIV/0!</v>
      </c>
      <c r="I11" s="2" t="str">
        <f t="shared" ca="1" si="1"/>
        <v/>
      </c>
      <c r="J11" s="2" t="str">
        <f t="shared" ca="1" si="1"/>
        <v/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customFormat="1" hidden="1">
      <c r="A12" s="46" t="s">
        <v>142</v>
      </c>
      <c r="C12" t="s">
        <v>106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2" t="e">
        <f t="shared" ca="1" si="2"/>
        <v>#REF!</v>
      </c>
      <c r="H12" s="2" t="e">
        <f t="shared" ca="1" si="2"/>
        <v>#REF!</v>
      </c>
      <c r="I12" s="2" t="e">
        <f t="shared" ca="1" si="2"/>
        <v>#REF!</v>
      </c>
      <c r="J12" s="2" t="e">
        <f t="shared" ca="1" si="2"/>
        <v>#REF!</v>
      </c>
      <c r="K12" s="2" t="e">
        <f t="shared" ca="1" si="2"/>
        <v>#REF!</v>
      </c>
      <c r="L12" s="2" t="e">
        <f t="shared" ca="1" si="2"/>
        <v>#REF!</v>
      </c>
      <c r="M12" s="2" t="e">
        <f t="shared" ca="1" si="2"/>
        <v>#REF!</v>
      </c>
      <c r="N12" s="2" t="e">
        <f t="shared" ca="1" si="2"/>
        <v>#REF!</v>
      </c>
      <c r="O12" s="2" t="e">
        <f t="shared" ca="1" si="2"/>
        <v>#REF!</v>
      </c>
      <c r="P12" s="2" t="e">
        <f t="shared" ca="1" si="2"/>
        <v>#REF!</v>
      </c>
      <c r="Q12" s="2" t="e">
        <f t="shared" ca="1" si="2"/>
        <v>#REF!</v>
      </c>
      <c r="R12" s="2" t="e">
        <f t="shared" ca="1" si="2"/>
        <v>#REF!</v>
      </c>
      <c r="S12" s="2" t="e">
        <f t="shared" ca="1" si="2"/>
        <v>#REF!</v>
      </c>
      <c r="T12" s="2" t="e">
        <f t="shared" ca="1" si="2"/>
        <v>#REF!</v>
      </c>
      <c r="U12" s="2" t="e">
        <f t="shared" ca="1" si="2"/>
        <v>#REF!</v>
      </c>
      <c r="V12" s="2" t="e">
        <f t="shared" ca="1" si="2"/>
        <v>#REF!</v>
      </c>
      <c r="W12" s="2" t="e">
        <f t="shared" ca="1" si="2"/>
        <v>#REF!</v>
      </c>
      <c r="X12" s="2" t="e">
        <f t="shared" ca="1" si="2"/>
        <v>#REF!</v>
      </c>
      <c r="Y12" s="2" t="e">
        <f t="shared" ca="1" si="2"/>
        <v>#REF!</v>
      </c>
      <c r="Z12" s="2" t="e">
        <f t="shared" ca="1" si="2"/>
        <v>#REF!</v>
      </c>
      <c r="AA12" s="2" t="e">
        <f t="shared" ca="1" si="2"/>
        <v>#REF!</v>
      </c>
      <c r="AB12" s="2" t="e">
        <f t="shared" ca="1" si="2"/>
        <v>#REF!</v>
      </c>
      <c r="AC12" s="2" t="e">
        <f t="shared" ca="1" si="2"/>
        <v>#REF!</v>
      </c>
      <c r="AD12" s="2" t="e">
        <f t="shared" ca="1" si="2"/>
        <v>#REF!</v>
      </c>
    </row>
    <row r="13" spans="1:30" customFormat="1" hidden="1">
      <c r="A13" s="46" t="s">
        <v>143</v>
      </c>
      <c r="C13" t="s">
        <v>144</v>
      </c>
      <c r="D13" s="2">
        <f ca="1">IF(DoneDays&gt;B10,B10,DoneDays)</f>
        <v>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57" t="s">
        <v>145</v>
      </c>
      <c r="B14" s="60" t="s">
        <v>16</v>
      </c>
      <c r="C14" s="57" t="s">
        <v>146</v>
      </c>
      <c r="D14" s="57" t="s">
        <v>6</v>
      </c>
      <c r="E14" s="60" t="s">
        <v>147</v>
      </c>
      <c r="F14" s="60">
        <v>1</v>
      </c>
      <c r="G14" s="60">
        <v>2</v>
      </c>
      <c r="H14" s="60">
        <v>3</v>
      </c>
      <c r="I14" s="60"/>
      <c r="J14" s="60"/>
      <c r="K14" s="60"/>
      <c r="L14" s="60" t="str">
        <f t="shared" ref="L14:AD14" si="3">IF($B$9&gt;K14,K14+1,"")</f>
        <v/>
      </c>
      <c r="M14" s="60" t="str">
        <f t="shared" si="3"/>
        <v/>
      </c>
      <c r="N14" s="60" t="str">
        <f t="shared" si="3"/>
        <v/>
      </c>
      <c r="O14" s="60" t="str">
        <f t="shared" si="3"/>
        <v/>
      </c>
      <c r="P14" s="60" t="str">
        <f t="shared" si="3"/>
        <v/>
      </c>
      <c r="Q14" s="60" t="str">
        <f t="shared" si="3"/>
        <v/>
      </c>
      <c r="R14" s="60" t="str">
        <f t="shared" si="3"/>
        <v/>
      </c>
      <c r="S14" s="60" t="str">
        <f t="shared" si="3"/>
        <v/>
      </c>
      <c r="T14" s="60" t="str">
        <f t="shared" si="3"/>
        <v/>
      </c>
      <c r="U14" s="60" t="str">
        <f t="shared" si="3"/>
        <v/>
      </c>
      <c r="V14" s="60" t="str">
        <f t="shared" si="3"/>
        <v/>
      </c>
      <c r="W14" s="60" t="str">
        <f t="shared" si="3"/>
        <v/>
      </c>
      <c r="X14" s="60" t="str">
        <f t="shared" si="3"/>
        <v/>
      </c>
      <c r="Y14" s="60" t="str">
        <f t="shared" si="3"/>
        <v/>
      </c>
      <c r="Z14" s="60" t="str">
        <f t="shared" si="3"/>
        <v/>
      </c>
      <c r="AA14" s="60" t="str">
        <f t="shared" si="3"/>
        <v/>
      </c>
      <c r="AB14" s="60" t="str">
        <f t="shared" si="3"/>
        <v/>
      </c>
      <c r="AC14" s="60" t="str">
        <f t="shared" si="3"/>
        <v/>
      </c>
      <c r="AD14" s="60" t="str">
        <f t="shared" si="3"/>
        <v/>
      </c>
    </row>
    <row r="15" spans="1:30">
      <c r="A15" s="65" t="s">
        <v>148</v>
      </c>
      <c r="B15" s="2">
        <v>4</v>
      </c>
      <c r="C15" s="66" t="s">
        <v>149</v>
      </c>
      <c r="D15" t="s">
        <v>29</v>
      </c>
      <c r="E15" s="2">
        <v>1</v>
      </c>
      <c r="F15" s="28">
        <v>0</v>
      </c>
      <c r="G15" s="2"/>
      <c r="H15" s="2"/>
      <c r="I15" s="2"/>
    </row>
    <row r="16" spans="1:30">
      <c r="A16" s="65" t="s">
        <v>148</v>
      </c>
      <c r="B16" s="2">
        <v>6</v>
      </c>
      <c r="C16" s="66" t="s">
        <v>149</v>
      </c>
      <c r="D16" t="s">
        <v>29</v>
      </c>
      <c r="E16" s="2">
        <v>1</v>
      </c>
      <c r="F16" s="28">
        <v>0</v>
      </c>
      <c r="G16" s="2"/>
      <c r="H16" s="2"/>
      <c r="I16" s="2"/>
    </row>
    <row r="17" spans="1:30">
      <c r="A17" s="70" t="s">
        <v>150</v>
      </c>
      <c r="B17" s="2">
        <v>11</v>
      </c>
      <c r="C17" s="66" t="s">
        <v>149</v>
      </c>
      <c r="D17" t="s">
        <v>29</v>
      </c>
      <c r="E17" s="2">
        <v>3</v>
      </c>
      <c r="G17" s="2">
        <v>0</v>
      </c>
      <c r="H17" s="2"/>
      <c r="I17" s="2"/>
      <c r="AC17" s="28" t="str">
        <f>IF(OR(AC$14="",$E17=""),"",AB17)</f>
        <v/>
      </c>
      <c r="AD17" s="28" t="str">
        <f>IF(OR(AD$14="",$E17=""),"",AC17)</f>
        <v/>
      </c>
    </row>
    <row r="18" spans="1:30">
      <c r="A18" s="70" t="s">
        <v>151</v>
      </c>
      <c r="B18" s="2">
        <v>11</v>
      </c>
      <c r="C18" s="66" t="s">
        <v>149</v>
      </c>
      <c r="D18" t="s">
        <v>29</v>
      </c>
      <c r="E18" s="2">
        <v>5</v>
      </c>
      <c r="G18" s="2">
        <v>0</v>
      </c>
      <c r="H18" s="2"/>
      <c r="I18" s="2"/>
    </row>
    <row r="19" spans="1:30" ht="25.5">
      <c r="A19" s="70" t="s">
        <v>152</v>
      </c>
      <c r="B19" s="2">
        <v>11</v>
      </c>
      <c r="C19" s="66" t="s">
        <v>149</v>
      </c>
      <c r="D19" t="s">
        <v>29</v>
      </c>
      <c r="E19" s="28">
        <v>10</v>
      </c>
      <c r="G19" s="28">
        <v>0</v>
      </c>
      <c r="AC19" s="28" t="str">
        <f t="shared" ref="AC19:AD33" si="4">IF(OR(AC$14="",$E19=""),"",AB19)</f>
        <v/>
      </c>
      <c r="AD19" s="28" t="str">
        <f t="shared" si="4"/>
        <v/>
      </c>
    </row>
    <row r="20" spans="1:30" ht="27.75" customHeight="1">
      <c r="A20" s="70" t="s">
        <v>153</v>
      </c>
      <c r="B20" s="2">
        <v>11</v>
      </c>
      <c r="C20" s="66" t="s">
        <v>149</v>
      </c>
      <c r="D20" t="s">
        <v>29</v>
      </c>
      <c r="E20" s="28">
        <v>4</v>
      </c>
      <c r="G20" s="28">
        <v>0</v>
      </c>
      <c r="AC20" s="28" t="str">
        <f t="shared" si="4"/>
        <v/>
      </c>
      <c r="AD20" s="28" t="str">
        <f t="shared" si="4"/>
        <v/>
      </c>
    </row>
    <row r="21" spans="1:30">
      <c r="A21" s="67" t="s">
        <v>154</v>
      </c>
      <c r="B21" s="2">
        <v>11</v>
      </c>
      <c r="C21" s="66" t="s">
        <v>149</v>
      </c>
      <c r="D21" t="s">
        <v>29</v>
      </c>
      <c r="E21" s="28">
        <v>4</v>
      </c>
      <c r="G21" s="28">
        <v>0</v>
      </c>
      <c r="AC21" s="28" t="str">
        <f t="shared" si="4"/>
        <v/>
      </c>
      <c r="AD21" s="28" t="str">
        <f t="shared" si="4"/>
        <v/>
      </c>
    </row>
    <row r="22" spans="1:30">
      <c r="A22" s="66" t="s">
        <v>155</v>
      </c>
      <c r="B22" s="28">
        <v>12</v>
      </c>
      <c r="C22" s="66" t="s">
        <v>149</v>
      </c>
      <c r="D22" t="s">
        <v>29</v>
      </c>
      <c r="E22" s="28">
        <v>1</v>
      </c>
      <c r="G22" s="28">
        <v>0</v>
      </c>
      <c r="AC22" s="28" t="str">
        <f t="shared" si="4"/>
        <v/>
      </c>
      <c r="AD22" s="28" t="str">
        <f t="shared" si="4"/>
        <v/>
      </c>
    </row>
    <row r="23" spans="1:30" ht="15" customHeight="1">
      <c r="A23" s="66" t="s">
        <v>156</v>
      </c>
      <c r="B23" s="28">
        <v>12</v>
      </c>
      <c r="C23" s="66" t="s">
        <v>149</v>
      </c>
      <c r="D23" t="s">
        <v>29</v>
      </c>
      <c r="E23" s="28">
        <v>1</v>
      </c>
      <c r="G23" s="28">
        <v>0</v>
      </c>
      <c r="AC23" s="28" t="str">
        <f t="shared" si="4"/>
        <v/>
      </c>
      <c r="AD23" s="28" t="str">
        <f t="shared" si="4"/>
        <v/>
      </c>
    </row>
    <row r="24" spans="1:30" ht="15" customHeight="1">
      <c r="A24" s="66" t="s">
        <v>157</v>
      </c>
      <c r="B24" s="28">
        <v>17</v>
      </c>
      <c r="C24" s="66" t="s">
        <v>149</v>
      </c>
      <c r="D24" t="s">
        <v>29</v>
      </c>
      <c r="E24" s="28">
        <v>2</v>
      </c>
      <c r="G24" s="28">
        <v>0</v>
      </c>
      <c r="AC24" s="28" t="str">
        <f t="shared" si="4"/>
        <v/>
      </c>
      <c r="AD24" s="28" t="str">
        <f t="shared" si="4"/>
        <v/>
      </c>
    </row>
    <row r="25" spans="1:30" ht="15" customHeight="1">
      <c r="A25" s="66" t="s">
        <v>158</v>
      </c>
      <c r="B25" s="28">
        <v>17</v>
      </c>
      <c r="C25" s="66" t="s">
        <v>149</v>
      </c>
      <c r="D25" t="s">
        <v>29</v>
      </c>
      <c r="E25" s="28">
        <v>3</v>
      </c>
      <c r="G25" s="28">
        <v>0</v>
      </c>
      <c r="AC25" s="28" t="str">
        <f t="shared" si="4"/>
        <v/>
      </c>
      <c r="AD25" s="28" t="str">
        <f t="shared" si="4"/>
        <v/>
      </c>
    </row>
    <row r="26" spans="1:30" ht="15" customHeight="1">
      <c r="A26" s="66" t="s">
        <v>156</v>
      </c>
      <c r="B26" s="28">
        <v>17</v>
      </c>
      <c r="C26" s="66" t="s">
        <v>149</v>
      </c>
      <c r="D26" t="s">
        <v>29</v>
      </c>
      <c r="E26" s="28">
        <v>3</v>
      </c>
      <c r="G26" s="28">
        <v>0</v>
      </c>
      <c r="AC26" s="28" t="str">
        <f t="shared" si="4"/>
        <v/>
      </c>
      <c r="AD26" s="28" t="str">
        <f t="shared" si="4"/>
        <v/>
      </c>
    </row>
    <row r="27" spans="1:30" ht="15" customHeight="1">
      <c r="A27" s="66" t="s">
        <v>154</v>
      </c>
      <c r="B27" s="28">
        <v>17</v>
      </c>
      <c r="C27" s="66" t="s">
        <v>149</v>
      </c>
      <c r="D27" t="s">
        <v>29</v>
      </c>
      <c r="E27" s="28">
        <v>3</v>
      </c>
      <c r="G27" s="28">
        <v>0</v>
      </c>
      <c r="AC27" s="28" t="str">
        <f t="shared" si="4"/>
        <v/>
      </c>
      <c r="AD27" s="28" t="str">
        <f t="shared" si="4"/>
        <v/>
      </c>
    </row>
    <row r="28" spans="1:30" ht="15" customHeight="1">
      <c r="A28" s="66"/>
      <c r="C28" s="66"/>
    </row>
    <row r="29" spans="1:30">
      <c r="A29" s="29" t="s">
        <v>159</v>
      </c>
      <c r="B29" s="28">
        <v>28</v>
      </c>
      <c r="C29" s="66" t="s">
        <v>149</v>
      </c>
      <c r="D29" s="29" t="s">
        <v>42</v>
      </c>
      <c r="E29" s="28">
        <v>5</v>
      </c>
      <c r="G29" s="28">
        <v>3</v>
      </c>
      <c r="AC29" s="28" t="str">
        <f t="shared" si="4"/>
        <v/>
      </c>
      <c r="AD29" s="28" t="str">
        <f t="shared" si="4"/>
        <v/>
      </c>
    </row>
    <row r="30" spans="1:30">
      <c r="A30" s="29" t="s">
        <v>160</v>
      </c>
      <c r="B30" s="28">
        <v>28</v>
      </c>
      <c r="C30" s="66" t="s">
        <v>149</v>
      </c>
      <c r="D30" s="29" t="s">
        <v>42</v>
      </c>
      <c r="E30" s="28">
        <v>2</v>
      </c>
      <c r="G30" s="28">
        <v>1</v>
      </c>
      <c r="AC30" s="28" t="str">
        <f t="shared" si="4"/>
        <v/>
      </c>
      <c r="AD30" s="28" t="str">
        <f t="shared" si="4"/>
        <v/>
      </c>
    </row>
    <row r="31" spans="1:30">
      <c r="A31" s="29" t="s">
        <v>161</v>
      </c>
      <c r="B31" s="28">
        <v>28</v>
      </c>
      <c r="C31" s="66" t="s">
        <v>149</v>
      </c>
      <c r="D31" s="29" t="s">
        <v>42</v>
      </c>
      <c r="E31" s="28">
        <v>2</v>
      </c>
      <c r="G31" s="28">
        <v>1</v>
      </c>
      <c r="AC31" s="28" t="str">
        <f t="shared" si="4"/>
        <v/>
      </c>
      <c r="AD31" s="28" t="str">
        <f t="shared" si="4"/>
        <v/>
      </c>
    </row>
    <row r="32" spans="1:30">
      <c r="A32" s="29" t="s">
        <v>162</v>
      </c>
      <c r="B32" s="28">
        <v>28</v>
      </c>
      <c r="C32" s="66" t="s">
        <v>149</v>
      </c>
      <c r="D32" s="29" t="s">
        <v>42</v>
      </c>
      <c r="E32" s="28">
        <v>10</v>
      </c>
      <c r="G32" s="28">
        <v>4</v>
      </c>
      <c r="AC32" s="28" t="str">
        <f t="shared" si="4"/>
        <v/>
      </c>
      <c r="AD32" s="28" t="str">
        <f t="shared" si="4"/>
        <v/>
      </c>
    </row>
    <row r="33" spans="1:30">
      <c r="A33" s="66" t="s">
        <v>154</v>
      </c>
      <c r="B33" s="28">
        <v>28</v>
      </c>
      <c r="C33" s="66" t="s">
        <v>149</v>
      </c>
      <c r="D33" s="29" t="s">
        <v>42</v>
      </c>
      <c r="E33" s="28">
        <v>5</v>
      </c>
      <c r="G33" s="28">
        <v>1</v>
      </c>
      <c r="AC33" s="28" t="str">
        <f t="shared" si="4"/>
        <v/>
      </c>
      <c r="AD33" s="28" t="str">
        <f t="shared" si="4"/>
        <v/>
      </c>
    </row>
    <row r="34" spans="1:30">
      <c r="A34" s="66" t="s">
        <v>163</v>
      </c>
      <c r="B34" s="28">
        <v>48</v>
      </c>
      <c r="C34" s="66" t="s">
        <v>149</v>
      </c>
      <c r="D34" s="29" t="s">
        <v>42</v>
      </c>
      <c r="E34" s="28">
        <v>2</v>
      </c>
      <c r="G34" s="28">
        <v>2</v>
      </c>
      <c r="AC34" s="28" t="str">
        <f t="shared" ref="AC34:AD39" si="5">IF(OR(AC$14="",$E34=""),"",AB34)</f>
        <v/>
      </c>
      <c r="AD34" s="28" t="str">
        <f t="shared" si="5"/>
        <v/>
      </c>
    </row>
    <row r="35" spans="1:30">
      <c r="A35" s="66" t="s">
        <v>164</v>
      </c>
      <c r="B35" s="28">
        <v>48</v>
      </c>
      <c r="C35" s="66" t="s">
        <v>149</v>
      </c>
      <c r="D35" s="29" t="s">
        <v>42</v>
      </c>
      <c r="E35" s="28">
        <v>3</v>
      </c>
      <c r="G35" s="28">
        <v>2</v>
      </c>
      <c r="AC35" s="28" t="str">
        <f t="shared" si="5"/>
        <v/>
      </c>
      <c r="AD35" s="28" t="str">
        <f t="shared" si="5"/>
        <v/>
      </c>
    </row>
    <row r="36" spans="1:30">
      <c r="A36" s="66" t="s">
        <v>165</v>
      </c>
      <c r="B36" s="28">
        <v>48</v>
      </c>
      <c r="C36" s="66" t="s">
        <v>149</v>
      </c>
      <c r="D36" s="29" t="s">
        <v>42</v>
      </c>
      <c r="E36" s="28">
        <v>4</v>
      </c>
      <c r="G36" s="28">
        <v>6</v>
      </c>
      <c r="AC36" s="28" t="str">
        <f t="shared" si="5"/>
        <v/>
      </c>
      <c r="AD36" s="28" t="str">
        <f t="shared" si="5"/>
        <v/>
      </c>
    </row>
    <row r="37" spans="1:30" ht="25.5">
      <c r="A37" s="67" t="s">
        <v>166</v>
      </c>
      <c r="B37" s="28">
        <v>48</v>
      </c>
      <c r="C37" s="66" t="s">
        <v>149</v>
      </c>
      <c r="D37" s="29" t="s">
        <v>42</v>
      </c>
      <c r="E37" s="28">
        <v>2</v>
      </c>
      <c r="G37" s="28">
        <v>3</v>
      </c>
      <c r="AC37" s="28" t="str">
        <f t="shared" si="5"/>
        <v/>
      </c>
      <c r="AD37" s="28" t="str">
        <f t="shared" si="5"/>
        <v/>
      </c>
    </row>
    <row r="38" spans="1:30">
      <c r="A38" s="66" t="s">
        <v>167</v>
      </c>
      <c r="B38" s="28">
        <v>48</v>
      </c>
      <c r="C38" s="66" t="s">
        <v>149</v>
      </c>
      <c r="D38" s="29" t="s">
        <v>42</v>
      </c>
      <c r="E38" s="28">
        <v>2</v>
      </c>
      <c r="G38" s="28">
        <v>2</v>
      </c>
      <c r="AC38" s="28" t="str">
        <f t="shared" si="5"/>
        <v/>
      </c>
      <c r="AD38" s="28" t="str">
        <f t="shared" si="5"/>
        <v/>
      </c>
    </row>
    <row r="39" spans="1:30">
      <c r="A39" s="66" t="s">
        <v>154</v>
      </c>
      <c r="B39" s="28">
        <v>48</v>
      </c>
      <c r="C39" s="66" t="s">
        <v>149</v>
      </c>
      <c r="D39" s="29" t="s">
        <v>42</v>
      </c>
      <c r="E39" s="28">
        <v>3</v>
      </c>
      <c r="G39" s="28">
        <v>3</v>
      </c>
      <c r="AC39" s="28" t="str">
        <f t="shared" si="5"/>
        <v/>
      </c>
      <c r="AD39" s="28" t="str">
        <f t="shared" si="5"/>
        <v/>
      </c>
    </row>
    <row r="40" spans="1:30">
      <c r="A40" s="66" t="s">
        <v>163</v>
      </c>
      <c r="B40" s="28">
        <v>49</v>
      </c>
      <c r="C40" s="66" t="s">
        <v>149</v>
      </c>
      <c r="D40" s="29" t="s">
        <v>42</v>
      </c>
      <c r="E40" s="28">
        <v>2</v>
      </c>
      <c r="G40" s="28">
        <v>1</v>
      </c>
    </row>
    <row r="41" spans="1:30">
      <c r="A41" s="66" t="s">
        <v>164</v>
      </c>
      <c r="B41" s="28">
        <v>49</v>
      </c>
      <c r="C41" s="66" t="s">
        <v>149</v>
      </c>
      <c r="D41" s="29" t="s">
        <v>42</v>
      </c>
      <c r="E41" s="28">
        <v>3</v>
      </c>
      <c r="G41" s="28">
        <v>2</v>
      </c>
      <c r="AC41" s="28" t="str">
        <f t="shared" ref="AC41:AD45" si="6">IF(OR(AC$14="",$E41=""),"",AB41)</f>
        <v/>
      </c>
      <c r="AD41" s="28" t="str">
        <f t="shared" si="6"/>
        <v/>
      </c>
    </row>
    <row r="42" spans="1:30">
      <c r="A42" s="66" t="s">
        <v>165</v>
      </c>
      <c r="B42" s="28">
        <v>49</v>
      </c>
      <c r="C42" s="66" t="s">
        <v>149</v>
      </c>
      <c r="D42" s="29" t="s">
        <v>42</v>
      </c>
      <c r="E42" s="28">
        <v>4</v>
      </c>
      <c r="G42" s="28">
        <v>2</v>
      </c>
      <c r="AC42" s="28" t="str">
        <f t="shared" si="6"/>
        <v/>
      </c>
      <c r="AD42" s="28" t="str">
        <f t="shared" si="6"/>
        <v/>
      </c>
    </row>
    <row r="43" spans="1:30" ht="25.5">
      <c r="A43" s="67" t="s">
        <v>168</v>
      </c>
      <c r="B43" s="28">
        <v>49</v>
      </c>
      <c r="C43" s="66" t="s">
        <v>149</v>
      </c>
      <c r="D43" s="29" t="s">
        <v>42</v>
      </c>
      <c r="E43" s="28">
        <v>2</v>
      </c>
      <c r="G43" s="28">
        <v>6</v>
      </c>
      <c r="AC43" s="28" t="str">
        <f t="shared" si="6"/>
        <v/>
      </c>
      <c r="AD43" s="28" t="str">
        <f t="shared" si="6"/>
        <v/>
      </c>
    </row>
    <row r="44" spans="1:30">
      <c r="A44" s="66" t="s">
        <v>167</v>
      </c>
      <c r="B44" s="28">
        <v>49</v>
      </c>
      <c r="C44" s="66" t="s">
        <v>149</v>
      </c>
      <c r="D44" s="29" t="s">
        <v>42</v>
      </c>
      <c r="E44" s="28">
        <v>2</v>
      </c>
      <c r="G44" s="28">
        <v>3</v>
      </c>
      <c r="AC44" s="28" t="str">
        <f t="shared" si="6"/>
        <v/>
      </c>
      <c r="AD44" s="28" t="str">
        <f t="shared" si="6"/>
        <v/>
      </c>
    </row>
    <row r="45" spans="1:30">
      <c r="A45" s="66" t="s">
        <v>154</v>
      </c>
      <c r="B45" s="28">
        <v>49</v>
      </c>
      <c r="C45" s="66" t="s">
        <v>149</v>
      </c>
      <c r="D45" s="29" t="s">
        <v>42</v>
      </c>
      <c r="E45" s="28">
        <v>3</v>
      </c>
      <c r="G45" s="28">
        <v>2</v>
      </c>
      <c r="AC45" s="28" t="str">
        <f t="shared" si="6"/>
        <v/>
      </c>
      <c r="AD45" s="28" t="str">
        <f t="shared" si="6"/>
        <v/>
      </c>
    </row>
    <row r="46" spans="1:30">
      <c r="C46"/>
      <c r="D46" s="29" t="str">
        <f>IF(A46&lt;&gt;"","Planned","")</f>
        <v/>
      </c>
    </row>
    <row r="47" spans="1:30">
      <c r="C47"/>
    </row>
    <row r="48" spans="1:30">
      <c r="C48"/>
    </row>
    <row r="49" spans="3:3">
      <c r="C49"/>
    </row>
    <row r="50" spans="3:3">
      <c r="C50"/>
    </row>
    <row r="51" spans="3:3">
      <c r="C51"/>
    </row>
    <row r="52" spans="3:3">
      <c r="C52"/>
    </row>
    <row r="53" spans="3:3">
      <c r="C53"/>
    </row>
    <row r="54" spans="3:3">
      <c r="C54"/>
    </row>
    <row r="55" spans="3:3">
      <c r="C55"/>
    </row>
    <row r="56" spans="3:3">
      <c r="C56"/>
    </row>
    <row r="57" spans="3:3">
      <c r="C57"/>
    </row>
    <row r="58" spans="3:3">
      <c r="C58"/>
    </row>
    <row r="59" spans="3:3">
      <c r="C59"/>
    </row>
    <row r="60" spans="3:3">
      <c r="C60"/>
    </row>
    <row r="61" spans="3:3">
      <c r="C61"/>
    </row>
    <row r="62" spans="3:3">
      <c r="C62"/>
    </row>
    <row r="63" spans="3:3">
      <c r="C63"/>
    </row>
    <row r="64" spans="3:3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</sheetData>
  <phoneticPr fontId="2" type="noConversion"/>
  <conditionalFormatting sqref="B15 A17 A20 A18:C18 B19:C20 D15:AD15 B40:D40 A40:A45 F40 E40:E45 C34:C45 H40:AD40 G40:G46 B16:AD17 A21:AD39 D18:AD20 D29:D45">
    <cfRule type="expression" dxfId="47" priority="15" stopIfTrue="1">
      <formula>$D15="Done"</formula>
    </cfRule>
    <cfRule type="expression" dxfId="46" priority="16" stopIfTrue="1">
      <formula>$D15="Ongoing"</formula>
    </cfRule>
  </conditionalFormatting>
  <conditionalFormatting sqref="A15:A16">
    <cfRule type="expression" dxfId="45" priority="13" stopIfTrue="1">
      <formula>$D15="Done"</formula>
    </cfRule>
    <cfRule type="expression" dxfId="44" priority="14" stopIfTrue="1">
      <formula>$D15="Ongoing"</formula>
    </cfRule>
  </conditionalFormatting>
  <conditionalFormatting sqref="C21">
    <cfRule type="expression" dxfId="43" priority="134" stopIfTrue="1">
      <formula>$D15="Done"</formula>
    </cfRule>
    <cfRule type="expression" dxfId="42" priority="135" stopIfTrue="1">
      <formula>$D15="Ongoing"</formula>
    </cfRule>
  </conditionalFormatting>
  <conditionalFormatting sqref="A19">
    <cfRule type="expression" dxfId="41" priority="11" stopIfTrue="1">
      <formula>$D19="Done"</formula>
    </cfRule>
    <cfRule type="expression" dxfId="40" priority="12" stopIfTrue="1">
      <formula>$D19="Ongoing"</formula>
    </cfRule>
  </conditionalFormatting>
  <conditionalFormatting sqref="B41">
    <cfRule type="expression" dxfId="39" priority="9" stopIfTrue="1">
      <formula>$D41="Done"</formula>
    </cfRule>
    <cfRule type="expression" dxfId="38" priority="10" stopIfTrue="1">
      <formula>$D41="Ongoing"</formula>
    </cfRule>
  </conditionalFormatting>
  <conditionalFormatting sqref="B42">
    <cfRule type="expression" dxfId="37" priority="7" stopIfTrue="1">
      <formula>$D42="Done"</formula>
    </cfRule>
    <cfRule type="expression" dxfId="36" priority="8" stopIfTrue="1">
      <formula>$D42="Ongoing"</formula>
    </cfRule>
  </conditionalFormatting>
  <conditionalFormatting sqref="B43">
    <cfRule type="expression" dxfId="35" priority="5" stopIfTrue="1">
      <formula>$D43="Done"</formula>
    </cfRule>
    <cfRule type="expression" dxfId="34" priority="6" stopIfTrue="1">
      <formula>$D43="Ongoing"</formula>
    </cfRule>
  </conditionalFormatting>
  <conditionalFormatting sqref="B44">
    <cfRule type="expression" dxfId="33" priority="3" stopIfTrue="1">
      <formula>$D44="Done"</formula>
    </cfRule>
    <cfRule type="expression" dxfId="32" priority="4" stopIfTrue="1">
      <formula>$D44="Ongoing"</formula>
    </cfRule>
  </conditionalFormatting>
  <conditionalFormatting sqref="B45">
    <cfRule type="expression" dxfId="31" priority="1" stopIfTrue="1">
      <formula>$D45="Done"</formula>
    </cfRule>
    <cfRule type="expression" dxfId="30" priority="2" stopIfTrue="1">
      <formula>$D45="Ongoing"</formula>
    </cfRule>
  </conditionalFormatting>
  <dataValidations count="1">
    <dataValidation type="list" allowBlank="1" showInputMessage="1" sqref="D3:D8 D15:D46" xr:uid="{00000000-0002-0000-0300-000000000000}">
      <formula1>"Planned,Ongoing,Done"</formula1>
    </dataValidation>
  </dataValidations>
  <pageMargins left="0.25" right="0.25" top="0.75" bottom="0.75" header="0.3" footer="0.3"/>
  <pageSetup paperSize="9" scale="42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D79"/>
  <sheetViews>
    <sheetView zoomScale="118" zoomScaleNormal="118" workbookViewId="0">
      <pane ySplit="14" topLeftCell="A71" activePane="bottomLeft" state="frozen"/>
      <selection pane="bottomLeft" activeCell="K69" sqref="K69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85">
        <v>2</v>
      </c>
      <c r="B1" s="86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>
      <c r="A9" s="16" t="s">
        <v>135</v>
      </c>
      <c r="B9" s="2">
        <v>6</v>
      </c>
      <c r="C9" s="16"/>
      <c r="D9" s="14"/>
      <c r="E9" s="16" t="s">
        <v>136</v>
      </c>
      <c r="F9" s="16" t="s">
        <v>137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>
      <c r="A10" s="16" t="s">
        <v>138</v>
      </c>
      <c r="B10" s="2">
        <v>6</v>
      </c>
      <c r="C10" s="16" t="s">
        <v>3</v>
      </c>
      <c r="D10" s="16" t="s">
        <v>139</v>
      </c>
      <c r="E10" s="15">
        <f ca="1">SUM(OFFSET(E14,1,0,TaskRows,1))</f>
        <v>205</v>
      </c>
      <c r="F10" s="15">
        <f ca="1">IF(AND(SUM(OFFSET(F14,1,0,TaskRows,1))=0),0,SUM(OFFSET(F14,1,0,TaskRows,1)))</f>
        <v>97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>
      <c r="A11" t="s">
        <v>140</v>
      </c>
      <c r="B11" s="2">
        <f>IF(COUNTA(A15:A243)=0,1,COUNTA(A15:A243))</f>
        <v>62</v>
      </c>
      <c r="C11" t="s">
        <v>141</v>
      </c>
      <c r="D11" s="2">
        <f ca="1">IF(COUNTIF(F10:AD10,"&gt;0")=0,1,COUNTIF(F10:AD10,"&gt;0"))</f>
        <v>1</v>
      </c>
      <c r="F11" s="2">
        <f ca="1">IF(F14="","",$E10-$E10/($B9-1)*(F14-1))</f>
        <v>205</v>
      </c>
      <c r="G11" s="2">
        <f t="shared" ref="G11:AD11" ca="1" si="1">IF(G14="","",TotalEffort-TotalEffort/(ImplementationDays)*(G14-1))</f>
        <v>170.83333333333334</v>
      </c>
      <c r="H11" s="2">
        <f t="shared" ca="1" si="1"/>
        <v>136.66666666666669</v>
      </c>
      <c r="I11" s="2">
        <f t="shared" ca="1" si="1"/>
        <v>102.5</v>
      </c>
      <c r="J11" s="2">
        <f t="shared" ca="1" si="1"/>
        <v>68.333333333333343</v>
      </c>
      <c r="K11" s="2">
        <f t="shared" ca="1" si="1"/>
        <v>34.166666666666686</v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46" t="s">
        <v>142</v>
      </c>
      <c r="B12"/>
      <c r="C12" t="s">
        <v>106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97</v>
      </c>
      <c r="G12" s="2">
        <f t="shared" ca="1" si="2"/>
        <v>97</v>
      </c>
      <c r="H12" s="2">
        <f t="shared" ca="1" si="2"/>
        <v>97</v>
      </c>
      <c r="I12" s="2">
        <f t="shared" ca="1" si="2"/>
        <v>97</v>
      </c>
      <c r="J12" s="2">
        <f t="shared" ca="1" si="2"/>
        <v>97</v>
      </c>
      <c r="K12" s="2">
        <f t="shared" ca="1" si="2"/>
        <v>97</v>
      </c>
      <c r="L12" s="2">
        <f t="shared" ca="1" si="2"/>
        <v>97</v>
      </c>
      <c r="M12" s="2">
        <f t="shared" ca="1" si="2"/>
        <v>97</v>
      </c>
      <c r="N12" s="2">
        <f t="shared" ca="1" si="2"/>
        <v>97</v>
      </c>
      <c r="O12" s="2">
        <f t="shared" ca="1" si="2"/>
        <v>97</v>
      </c>
      <c r="P12" s="2">
        <f t="shared" ca="1" si="2"/>
        <v>97</v>
      </c>
      <c r="Q12" s="2">
        <f t="shared" ca="1" si="2"/>
        <v>97</v>
      </c>
      <c r="R12" s="2">
        <f t="shared" ca="1" si="2"/>
        <v>97</v>
      </c>
      <c r="S12" s="2">
        <f t="shared" ca="1" si="2"/>
        <v>97</v>
      </c>
      <c r="T12" s="2">
        <f t="shared" ca="1" si="2"/>
        <v>97</v>
      </c>
      <c r="U12" s="2">
        <f t="shared" ca="1" si="2"/>
        <v>97</v>
      </c>
      <c r="V12" s="2">
        <f t="shared" ca="1" si="2"/>
        <v>97</v>
      </c>
      <c r="W12" s="2">
        <f t="shared" ca="1" si="2"/>
        <v>97</v>
      </c>
      <c r="X12" s="2">
        <f t="shared" ca="1" si="2"/>
        <v>97</v>
      </c>
      <c r="Y12" s="2">
        <f t="shared" ca="1" si="2"/>
        <v>97</v>
      </c>
      <c r="Z12" s="2">
        <f t="shared" ca="1" si="2"/>
        <v>97</v>
      </c>
      <c r="AA12" s="2">
        <f t="shared" ca="1" si="2"/>
        <v>97</v>
      </c>
      <c r="AB12" s="2">
        <f t="shared" ca="1" si="2"/>
        <v>97</v>
      </c>
      <c r="AC12" s="2">
        <f t="shared" ca="1" si="2"/>
        <v>97</v>
      </c>
      <c r="AD12" s="2">
        <f t="shared" ca="1" si="2"/>
        <v>97</v>
      </c>
    </row>
    <row r="13" spans="1:30" hidden="1">
      <c r="A13" s="46" t="s">
        <v>143</v>
      </c>
      <c r="B13"/>
      <c r="C13" t="s">
        <v>144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6" t="s">
        <v>145</v>
      </c>
      <c r="B14" s="17" t="s">
        <v>16</v>
      </c>
      <c r="C14" s="16" t="s">
        <v>146</v>
      </c>
      <c r="D14" s="16" t="s">
        <v>6</v>
      </c>
      <c r="E14" s="17" t="s">
        <v>147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>
        <f t="shared" si="3"/>
        <v>6</v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 s="29" customFormat="1">
      <c r="A15" s="66" t="s">
        <v>163</v>
      </c>
      <c r="B15" s="28">
        <v>40</v>
      </c>
      <c r="C15" s="66" t="s">
        <v>149</v>
      </c>
      <c r="E15" s="28">
        <v>2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 t="str">
        <f t="shared" ref="AC15:AD34" si="4">IF(OR(AC$14="",$E15=""),"",AB15)</f>
        <v/>
      </c>
      <c r="AD15" s="28" t="str">
        <f t="shared" si="4"/>
        <v/>
      </c>
    </row>
    <row r="16" spans="1:30" s="29" customFormat="1">
      <c r="A16" s="29" t="s">
        <v>169</v>
      </c>
      <c r="B16" s="28">
        <v>40</v>
      </c>
      <c r="C16" s="66" t="s">
        <v>149</v>
      </c>
      <c r="E16" s="28">
        <v>4</v>
      </c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 t="str">
        <f t="shared" si="4"/>
        <v/>
      </c>
      <c r="AD16" s="28" t="str">
        <f t="shared" si="4"/>
        <v/>
      </c>
    </row>
    <row r="17" spans="1:30" s="29" customFormat="1">
      <c r="A17" s="66" t="s">
        <v>170</v>
      </c>
      <c r="B17" s="28">
        <v>40</v>
      </c>
      <c r="C17" s="66" t="s">
        <v>149</v>
      </c>
      <c r="E17" s="28">
        <v>2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 t="str">
        <f t="shared" si="4"/>
        <v/>
      </c>
      <c r="AD17" s="28" t="str">
        <f t="shared" si="4"/>
        <v/>
      </c>
    </row>
    <row r="18" spans="1:30" s="29" customFormat="1">
      <c r="A18" s="29" t="s">
        <v>171</v>
      </c>
      <c r="B18" s="28">
        <v>40</v>
      </c>
      <c r="C18" s="66" t="s">
        <v>149</v>
      </c>
      <c r="E18" s="28">
        <v>4</v>
      </c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 t="str">
        <f t="shared" si="4"/>
        <v/>
      </c>
      <c r="AD18" s="28" t="str">
        <f t="shared" si="4"/>
        <v/>
      </c>
    </row>
    <row r="19" spans="1:30" s="29" customFormat="1">
      <c r="A19" s="66" t="s">
        <v>154</v>
      </c>
      <c r="B19" s="28">
        <v>40</v>
      </c>
      <c r="C19" s="66" t="s">
        <v>149</v>
      </c>
      <c r="E19" s="28">
        <v>2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 t="str">
        <f t="shared" si="4"/>
        <v/>
      </c>
      <c r="AD19" s="28" t="str">
        <f t="shared" si="4"/>
        <v/>
      </c>
    </row>
    <row r="20" spans="1:30" s="29" customFormat="1">
      <c r="A20" s="66" t="s">
        <v>163</v>
      </c>
      <c r="B20" s="28">
        <v>41</v>
      </c>
      <c r="C20" s="66" t="s">
        <v>149</v>
      </c>
      <c r="E20" s="28">
        <v>2</v>
      </c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 t="str">
        <f t="shared" si="4"/>
        <v/>
      </c>
      <c r="AD20" s="28" t="str">
        <f t="shared" si="4"/>
        <v/>
      </c>
    </row>
    <row r="21" spans="1:30" s="29" customFormat="1">
      <c r="A21" s="66" t="s">
        <v>172</v>
      </c>
      <c r="B21" s="28">
        <v>41</v>
      </c>
      <c r="C21" s="66" t="s">
        <v>149</v>
      </c>
      <c r="E21" s="28">
        <v>2</v>
      </c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 t="str">
        <f t="shared" si="4"/>
        <v/>
      </c>
      <c r="AD21" s="28" t="str">
        <f t="shared" si="4"/>
        <v/>
      </c>
    </row>
    <row r="22" spans="1:30" s="29" customFormat="1">
      <c r="A22" s="66" t="s">
        <v>173</v>
      </c>
      <c r="B22" s="28">
        <v>41</v>
      </c>
      <c r="C22" s="66" t="s">
        <v>149</v>
      </c>
      <c r="E22" s="28">
        <v>4</v>
      </c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 t="str">
        <f t="shared" si="4"/>
        <v/>
      </c>
      <c r="AD22" s="28" t="str">
        <f t="shared" si="4"/>
        <v/>
      </c>
    </row>
    <row r="23" spans="1:30" s="29" customFormat="1">
      <c r="A23" s="66" t="s">
        <v>174</v>
      </c>
      <c r="B23" s="28">
        <v>41</v>
      </c>
      <c r="C23" s="66" t="s">
        <v>149</v>
      </c>
      <c r="E23" s="28">
        <v>3</v>
      </c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 t="str">
        <f t="shared" si="4"/>
        <v/>
      </c>
      <c r="AD23" s="28" t="str">
        <f t="shared" si="4"/>
        <v/>
      </c>
    </row>
    <row r="24" spans="1:30" s="29" customFormat="1">
      <c r="A24" s="66" t="s">
        <v>154</v>
      </c>
      <c r="B24" s="28">
        <v>41</v>
      </c>
      <c r="C24" s="66" t="s">
        <v>149</v>
      </c>
      <c r="E24" s="28">
        <v>2</v>
      </c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 t="str">
        <f t="shared" si="4"/>
        <v/>
      </c>
      <c r="AD24" s="28" t="str">
        <f t="shared" si="4"/>
        <v/>
      </c>
    </row>
    <row r="25" spans="1:30" s="29" customFormat="1">
      <c r="A25" s="66" t="s">
        <v>163</v>
      </c>
      <c r="B25" s="28">
        <v>42</v>
      </c>
      <c r="C25" s="66" t="s">
        <v>149</v>
      </c>
      <c r="E25" s="28">
        <v>1</v>
      </c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 t="str">
        <f t="shared" si="4"/>
        <v/>
      </c>
      <c r="AD25" s="28" t="str">
        <f t="shared" si="4"/>
        <v/>
      </c>
    </row>
    <row r="26" spans="1:30" s="29" customFormat="1">
      <c r="A26" s="66" t="s">
        <v>175</v>
      </c>
      <c r="B26" s="28">
        <v>42</v>
      </c>
      <c r="C26" s="66" t="s">
        <v>149</v>
      </c>
      <c r="E26" s="28">
        <v>2</v>
      </c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 t="str">
        <f t="shared" si="4"/>
        <v/>
      </c>
      <c r="AD26" s="28" t="str">
        <f t="shared" si="4"/>
        <v/>
      </c>
    </row>
    <row r="27" spans="1:30" s="29" customFormat="1">
      <c r="A27" s="66" t="s">
        <v>176</v>
      </c>
      <c r="B27" s="28">
        <v>42</v>
      </c>
      <c r="C27" s="66" t="s">
        <v>149</v>
      </c>
      <c r="E27" s="28">
        <v>3</v>
      </c>
      <c r="F27" s="28"/>
      <c r="G27" s="28"/>
      <c r="H27" s="28"/>
      <c r="I27" s="28"/>
      <c r="J27" s="28"/>
      <c r="K27" s="28"/>
      <c r="L27" s="28" t="str">
        <f t="shared" ref="L27:AB28" si="5">IF(OR(L$14="",$E27=""),"",K27)</f>
        <v/>
      </c>
      <c r="M27" s="28" t="str">
        <f t="shared" si="5"/>
        <v/>
      </c>
      <c r="N27" s="28" t="str">
        <f t="shared" si="5"/>
        <v/>
      </c>
      <c r="O27" s="28" t="str">
        <f t="shared" si="5"/>
        <v/>
      </c>
      <c r="P27" s="28" t="str">
        <f t="shared" si="5"/>
        <v/>
      </c>
      <c r="Q27" s="28" t="str">
        <f t="shared" si="5"/>
        <v/>
      </c>
      <c r="R27" s="28" t="str">
        <f t="shared" si="5"/>
        <v/>
      </c>
      <c r="S27" s="28" t="str">
        <f t="shared" si="5"/>
        <v/>
      </c>
      <c r="T27" s="28" t="str">
        <f t="shared" si="5"/>
        <v/>
      </c>
      <c r="U27" s="28" t="str">
        <f t="shared" si="5"/>
        <v/>
      </c>
      <c r="V27" s="28" t="str">
        <f t="shared" si="5"/>
        <v/>
      </c>
      <c r="W27" s="28" t="str">
        <f t="shared" si="5"/>
        <v/>
      </c>
      <c r="X27" s="28" t="str">
        <f t="shared" si="5"/>
        <v/>
      </c>
      <c r="Y27" s="28" t="str">
        <f t="shared" si="5"/>
        <v/>
      </c>
      <c r="Z27" s="28" t="str">
        <f t="shared" si="5"/>
        <v/>
      </c>
      <c r="AA27" s="28" t="str">
        <f t="shared" si="5"/>
        <v/>
      </c>
      <c r="AB27" s="28" t="str">
        <f t="shared" si="5"/>
        <v/>
      </c>
      <c r="AC27" s="28" t="str">
        <f t="shared" si="4"/>
        <v/>
      </c>
      <c r="AD27" s="28" t="str">
        <f t="shared" si="4"/>
        <v/>
      </c>
    </row>
    <row r="28" spans="1:30" s="29" customFormat="1">
      <c r="A28" s="66" t="s">
        <v>177</v>
      </c>
      <c r="B28" s="28">
        <v>42</v>
      </c>
      <c r="C28" s="66" t="s">
        <v>149</v>
      </c>
      <c r="E28" s="28">
        <v>2</v>
      </c>
      <c r="F28" s="28"/>
      <c r="G28" s="28"/>
      <c r="H28" s="28"/>
      <c r="I28" s="28"/>
      <c r="J28" s="28"/>
      <c r="K28" s="28"/>
      <c r="L28" s="28" t="str">
        <f t="shared" si="5"/>
        <v/>
      </c>
      <c r="M28" s="28" t="str">
        <f t="shared" si="5"/>
        <v/>
      </c>
      <c r="N28" s="28" t="str">
        <f t="shared" si="5"/>
        <v/>
      </c>
      <c r="O28" s="28" t="str">
        <f t="shared" si="5"/>
        <v/>
      </c>
      <c r="P28" s="28" t="str">
        <f t="shared" si="5"/>
        <v/>
      </c>
      <c r="Q28" s="28" t="str">
        <f t="shared" si="5"/>
        <v/>
      </c>
      <c r="R28" s="28" t="str">
        <f t="shared" si="5"/>
        <v/>
      </c>
      <c r="S28" s="28" t="str">
        <f t="shared" si="5"/>
        <v/>
      </c>
      <c r="T28" s="28" t="str">
        <f t="shared" si="5"/>
        <v/>
      </c>
      <c r="U28" s="28" t="str">
        <f t="shared" si="5"/>
        <v/>
      </c>
      <c r="V28" s="28" t="str">
        <f t="shared" si="5"/>
        <v/>
      </c>
      <c r="W28" s="28" t="str">
        <f t="shared" si="5"/>
        <v/>
      </c>
      <c r="X28" s="28" t="str">
        <f t="shared" si="5"/>
        <v/>
      </c>
      <c r="Y28" s="28" t="str">
        <f t="shared" si="5"/>
        <v/>
      </c>
      <c r="Z28" s="28" t="str">
        <f t="shared" si="5"/>
        <v/>
      </c>
      <c r="AA28" s="28" t="str">
        <f t="shared" si="5"/>
        <v/>
      </c>
      <c r="AB28" s="28" t="str">
        <f t="shared" si="5"/>
        <v/>
      </c>
      <c r="AC28" s="28" t="str">
        <f t="shared" si="4"/>
        <v/>
      </c>
      <c r="AD28" s="28" t="str">
        <f t="shared" si="4"/>
        <v/>
      </c>
    </row>
    <row r="29" spans="1:30" s="29" customFormat="1">
      <c r="A29" s="66" t="s">
        <v>154</v>
      </c>
      <c r="B29" s="28">
        <v>42</v>
      </c>
      <c r="C29" s="66" t="s">
        <v>149</v>
      </c>
      <c r="E29" s="28">
        <v>2</v>
      </c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 t="str">
        <f t="shared" si="4"/>
        <v/>
      </c>
      <c r="AD29" s="28" t="str">
        <f t="shared" si="4"/>
        <v/>
      </c>
    </row>
    <row r="30" spans="1:30" s="29" customFormat="1">
      <c r="A30" s="66" t="s">
        <v>163</v>
      </c>
      <c r="B30" s="28">
        <v>43</v>
      </c>
      <c r="C30" s="66" t="s">
        <v>149</v>
      </c>
      <c r="E30" s="28">
        <v>2</v>
      </c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 t="str">
        <f t="shared" si="4"/>
        <v/>
      </c>
      <c r="AD30" s="28" t="str">
        <f t="shared" si="4"/>
        <v/>
      </c>
    </row>
    <row r="31" spans="1:30" s="29" customFormat="1" ht="24.75" customHeight="1">
      <c r="A31" s="67" t="s">
        <v>178</v>
      </c>
      <c r="B31" s="28">
        <v>43</v>
      </c>
      <c r="C31" s="66" t="s">
        <v>149</v>
      </c>
      <c r="E31" s="28">
        <v>5</v>
      </c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 t="str">
        <f t="shared" si="4"/>
        <v/>
      </c>
      <c r="AD31" s="28" t="str">
        <f t="shared" si="4"/>
        <v/>
      </c>
    </row>
    <row r="32" spans="1:30" s="29" customFormat="1">
      <c r="A32" s="66" t="s">
        <v>179</v>
      </c>
      <c r="B32" s="28">
        <v>43</v>
      </c>
      <c r="C32" s="66" t="s">
        <v>149</v>
      </c>
      <c r="E32" s="28">
        <v>4</v>
      </c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 t="str">
        <f t="shared" si="4"/>
        <v/>
      </c>
      <c r="AD32" s="28" t="str">
        <f t="shared" si="4"/>
        <v/>
      </c>
    </row>
    <row r="33" spans="1:30" s="29" customFormat="1">
      <c r="A33" s="66" t="s">
        <v>180</v>
      </c>
      <c r="B33" s="28">
        <v>43</v>
      </c>
      <c r="C33" s="66" t="s">
        <v>149</v>
      </c>
      <c r="E33" s="28">
        <v>5</v>
      </c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 t="str">
        <f t="shared" si="4"/>
        <v/>
      </c>
      <c r="AD33" s="28" t="str">
        <f t="shared" si="4"/>
        <v/>
      </c>
    </row>
    <row r="34" spans="1:30" s="29" customFormat="1">
      <c r="A34" s="66" t="s">
        <v>154</v>
      </c>
      <c r="B34" s="28">
        <v>43</v>
      </c>
      <c r="C34" s="66" t="s">
        <v>149</v>
      </c>
      <c r="E34" s="28">
        <v>3</v>
      </c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 t="str">
        <f t="shared" si="4"/>
        <v/>
      </c>
      <c r="AD34" s="28" t="str">
        <f t="shared" si="4"/>
        <v/>
      </c>
    </row>
    <row r="35" spans="1:30">
      <c r="AC35" s="2" t="str">
        <f t="shared" ref="AC35:AD37" si="6">IF(OR(AC$14="",$E35=""),"",AB35)</f>
        <v/>
      </c>
      <c r="AD35" s="2" t="str">
        <f t="shared" si="6"/>
        <v/>
      </c>
    </row>
    <row r="36" spans="1:30" s="29" customFormat="1">
      <c r="A36" s="66" t="s">
        <v>181</v>
      </c>
      <c r="B36" s="28">
        <v>44</v>
      </c>
      <c r="C36" s="66" t="s">
        <v>149</v>
      </c>
      <c r="E36" s="28">
        <v>1</v>
      </c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 t="str">
        <f t="shared" si="6"/>
        <v/>
      </c>
      <c r="AD36" s="28" t="str">
        <f t="shared" si="6"/>
        <v/>
      </c>
    </row>
    <row r="37" spans="1:30" s="29" customFormat="1">
      <c r="A37" s="66" t="s">
        <v>154</v>
      </c>
      <c r="B37" s="28">
        <v>44</v>
      </c>
      <c r="C37" s="66" t="s">
        <v>149</v>
      </c>
      <c r="E37" s="28">
        <v>1</v>
      </c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 t="str">
        <f t="shared" si="6"/>
        <v/>
      </c>
      <c r="AD37" s="28" t="str">
        <f t="shared" si="6"/>
        <v/>
      </c>
    </row>
    <row r="38" spans="1:30">
      <c r="AC38" s="2" t="str">
        <f t="shared" ref="AC38:AD55" si="7">IF(OR(AC$14="",$E38=""),"",AB38)</f>
        <v/>
      </c>
      <c r="AD38" s="2" t="str">
        <f t="shared" si="7"/>
        <v/>
      </c>
    </row>
    <row r="39" spans="1:30">
      <c r="A39" t="s">
        <v>182</v>
      </c>
      <c r="B39" s="2">
        <v>13</v>
      </c>
      <c r="D39" t="s">
        <v>42</v>
      </c>
      <c r="E39" s="2">
        <v>2</v>
      </c>
      <c r="F39" s="2">
        <f t="shared" ref="F39:F60" si="8">IF(OR(F$14="",$E39=""),"",E39)</f>
        <v>2</v>
      </c>
      <c r="AC39" s="2" t="str">
        <f t="shared" si="7"/>
        <v/>
      </c>
      <c r="AD39" s="2" t="str">
        <f t="shared" si="7"/>
        <v/>
      </c>
    </row>
    <row r="40" spans="1:30">
      <c r="D40" t="str">
        <f t="shared" ref="D40:D59" si="9">IF(A40&lt;&gt;"","Planned","")</f>
        <v/>
      </c>
      <c r="F40" s="2" t="str">
        <f t="shared" si="8"/>
        <v/>
      </c>
      <c r="AC40" s="2" t="str">
        <f t="shared" si="7"/>
        <v/>
      </c>
      <c r="AD40" s="2" t="str">
        <f t="shared" si="7"/>
        <v/>
      </c>
    </row>
    <row r="41" spans="1:30">
      <c r="A41" t="s">
        <v>182</v>
      </c>
      <c r="B41" s="2">
        <v>14</v>
      </c>
      <c r="D41" t="str">
        <f t="shared" si="9"/>
        <v>Planned</v>
      </c>
      <c r="E41" s="2">
        <v>4</v>
      </c>
      <c r="AC41" s="2" t="str">
        <f t="shared" si="7"/>
        <v/>
      </c>
      <c r="AD41" s="2" t="str">
        <f t="shared" si="7"/>
        <v/>
      </c>
    </row>
    <row r="42" spans="1:30">
      <c r="A42" t="s">
        <v>183</v>
      </c>
      <c r="B42" s="2">
        <v>18</v>
      </c>
      <c r="D42" t="s">
        <v>42</v>
      </c>
      <c r="E42" s="2">
        <v>6</v>
      </c>
      <c r="F42" s="2">
        <v>3</v>
      </c>
      <c r="AC42" s="2" t="str">
        <f t="shared" si="7"/>
        <v/>
      </c>
      <c r="AD42" s="2" t="str">
        <f t="shared" si="7"/>
        <v/>
      </c>
    </row>
    <row r="43" spans="1:30">
      <c r="A43" t="s">
        <v>184</v>
      </c>
      <c r="B43" s="2">
        <v>18</v>
      </c>
      <c r="D43" t="s">
        <v>42</v>
      </c>
      <c r="E43" s="2">
        <v>3</v>
      </c>
      <c r="F43" s="2">
        <v>2</v>
      </c>
      <c r="AC43" s="2" t="str">
        <f t="shared" si="7"/>
        <v/>
      </c>
      <c r="AD43" s="2" t="str">
        <f t="shared" si="7"/>
        <v/>
      </c>
    </row>
    <row r="44" spans="1:30">
      <c r="A44" t="s">
        <v>185</v>
      </c>
      <c r="B44" s="2">
        <v>20</v>
      </c>
      <c r="D44" t="s">
        <v>42</v>
      </c>
      <c r="E44" s="2">
        <v>6</v>
      </c>
      <c r="F44" s="2">
        <v>2</v>
      </c>
      <c r="AC44" s="2" t="str">
        <f t="shared" si="7"/>
        <v/>
      </c>
      <c r="AD44" s="2" t="str">
        <f t="shared" si="7"/>
        <v/>
      </c>
    </row>
    <row r="45" spans="1:30">
      <c r="A45" t="s">
        <v>183</v>
      </c>
      <c r="B45" s="2">
        <v>20</v>
      </c>
      <c r="D45" t="s">
        <v>42</v>
      </c>
      <c r="E45" s="2">
        <v>3</v>
      </c>
      <c r="F45" s="2">
        <v>1</v>
      </c>
      <c r="AC45" s="2" t="str">
        <f t="shared" si="7"/>
        <v/>
      </c>
      <c r="AD45" s="2" t="str">
        <f t="shared" si="7"/>
        <v/>
      </c>
    </row>
    <row r="46" spans="1:30">
      <c r="A46" t="s">
        <v>184</v>
      </c>
      <c r="B46" s="2">
        <v>20</v>
      </c>
      <c r="D46" t="s">
        <v>42</v>
      </c>
      <c r="E46" s="2">
        <v>4</v>
      </c>
      <c r="F46" s="2">
        <v>3</v>
      </c>
      <c r="AC46" s="2" t="str">
        <f t="shared" si="7"/>
        <v/>
      </c>
      <c r="AD46" s="2" t="str">
        <f t="shared" si="7"/>
        <v/>
      </c>
    </row>
    <row r="47" spans="1:30">
      <c r="A47" t="s">
        <v>185</v>
      </c>
      <c r="B47" s="2">
        <v>30</v>
      </c>
      <c r="D47" t="s">
        <v>42</v>
      </c>
      <c r="E47" s="2">
        <v>7</v>
      </c>
      <c r="F47" s="2">
        <v>3</v>
      </c>
      <c r="AC47" s="2" t="str">
        <f t="shared" si="7"/>
        <v/>
      </c>
      <c r="AD47" s="2" t="str">
        <f t="shared" si="7"/>
        <v/>
      </c>
    </row>
    <row r="48" spans="1:30">
      <c r="A48" t="s">
        <v>183</v>
      </c>
      <c r="B48" s="2">
        <v>30</v>
      </c>
      <c r="D48" t="s">
        <v>42</v>
      </c>
      <c r="E48" s="2">
        <v>5</v>
      </c>
      <c r="F48" s="2">
        <v>1</v>
      </c>
      <c r="AC48" s="2" t="str">
        <f t="shared" si="7"/>
        <v/>
      </c>
      <c r="AD48" s="2" t="str">
        <f t="shared" si="7"/>
        <v/>
      </c>
    </row>
    <row r="49" spans="1:30">
      <c r="A49" t="s">
        <v>184</v>
      </c>
      <c r="B49" s="2">
        <v>30</v>
      </c>
      <c r="D49" t="s">
        <v>42</v>
      </c>
      <c r="E49" s="2">
        <v>4</v>
      </c>
      <c r="F49" s="2">
        <v>2</v>
      </c>
      <c r="AC49" s="2" t="str">
        <f t="shared" si="7"/>
        <v/>
      </c>
      <c r="AD49" s="2" t="str">
        <f t="shared" si="7"/>
        <v/>
      </c>
    </row>
    <row r="50" spans="1:30">
      <c r="A50" t="s">
        <v>182</v>
      </c>
      <c r="B50" s="2">
        <v>31</v>
      </c>
      <c r="D50" t="s">
        <v>42</v>
      </c>
      <c r="E50" s="2">
        <v>8</v>
      </c>
      <c r="F50" s="2">
        <v>3</v>
      </c>
      <c r="AC50" s="2" t="str">
        <f t="shared" si="7"/>
        <v/>
      </c>
      <c r="AD50" s="2" t="str">
        <f t="shared" si="7"/>
        <v/>
      </c>
    </row>
    <row r="51" spans="1:30">
      <c r="A51" t="s">
        <v>185</v>
      </c>
      <c r="B51" s="2">
        <v>35</v>
      </c>
      <c r="D51" t="s">
        <v>42</v>
      </c>
      <c r="E51" s="2">
        <v>6</v>
      </c>
      <c r="F51" s="2">
        <v>4</v>
      </c>
      <c r="AC51" s="2" t="str">
        <f t="shared" si="7"/>
        <v/>
      </c>
      <c r="AD51" s="2" t="str">
        <f t="shared" si="7"/>
        <v/>
      </c>
    </row>
    <row r="52" spans="1:30">
      <c r="A52" t="s">
        <v>183</v>
      </c>
      <c r="B52" s="2">
        <v>35</v>
      </c>
      <c r="D52" t="s">
        <v>42</v>
      </c>
      <c r="E52" s="2">
        <v>3</v>
      </c>
      <c r="F52" s="2">
        <v>2</v>
      </c>
      <c r="AC52" s="2" t="str">
        <f t="shared" si="7"/>
        <v/>
      </c>
      <c r="AD52" s="2" t="str">
        <f t="shared" si="7"/>
        <v/>
      </c>
    </row>
    <row r="53" spans="1:30">
      <c r="A53" t="s">
        <v>184</v>
      </c>
      <c r="B53" s="2">
        <v>35</v>
      </c>
      <c r="D53" t="s">
        <v>42</v>
      </c>
      <c r="E53" s="2">
        <v>5</v>
      </c>
      <c r="F53" s="2">
        <v>4</v>
      </c>
      <c r="AC53" s="2" t="str">
        <f t="shared" si="7"/>
        <v/>
      </c>
      <c r="AD53" s="2" t="str">
        <f t="shared" si="7"/>
        <v/>
      </c>
    </row>
    <row r="54" spans="1:30">
      <c r="A54" t="s">
        <v>185</v>
      </c>
      <c r="B54" s="2">
        <v>40</v>
      </c>
      <c r="D54" t="s">
        <v>24</v>
      </c>
      <c r="E54" s="2">
        <v>5</v>
      </c>
      <c r="F54" s="2">
        <f t="shared" si="8"/>
        <v>5</v>
      </c>
      <c r="AC54" s="2" t="str">
        <f t="shared" si="7"/>
        <v/>
      </c>
      <c r="AD54" s="2" t="str">
        <f t="shared" si="7"/>
        <v/>
      </c>
    </row>
    <row r="55" spans="1:30">
      <c r="A55" t="s">
        <v>183</v>
      </c>
      <c r="B55" s="2">
        <v>40</v>
      </c>
      <c r="D55" t="str">
        <f t="shared" si="9"/>
        <v>Planned</v>
      </c>
      <c r="E55" s="2">
        <v>4</v>
      </c>
      <c r="F55" s="2">
        <f t="shared" si="8"/>
        <v>4</v>
      </c>
      <c r="AC55" s="2" t="str">
        <f t="shared" si="7"/>
        <v/>
      </c>
      <c r="AD55" s="2" t="str">
        <f t="shared" si="7"/>
        <v/>
      </c>
    </row>
    <row r="56" spans="1:30">
      <c r="A56" t="s">
        <v>184</v>
      </c>
      <c r="B56" s="2">
        <v>40</v>
      </c>
      <c r="D56" t="str">
        <f t="shared" si="9"/>
        <v>Planned</v>
      </c>
      <c r="E56" s="2">
        <v>3</v>
      </c>
      <c r="F56" s="2">
        <f t="shared" si="8"/>
        <v>3</v>
      </c>
      <c r="AC56" s="2" t="str">
        <f t="shared" ref="AC56:AD59" si="10">IF(OR(AC$14="",$E56=""),"",AB56)</f>
        <v/>
      </c>
      <c r="AD56" s="2" t="str">
        <f t="shared" si="10"/>
        <v/>
      </c>
    </row>
    <row r="57" spans="1:30">
      <c r="A57" t="s">
        <v>185</v>
      </c>
      <c r="B57" s="2">
        <v>41</v>
      </c>
      <c r="D57" t="str">
        <f t="shared" si="9"/>
        <v>Planned</v>
      </c>
      <c r="E57" s="2">
        <v>2</v>
      </c>
      <c r="F57" s="2">
        <f t="shared" si="8"/>
        <v>2</v>
      </c>
      <c r="AC57" s="2" t="str">
        <f t="shared" si="10"/>
        <v/>
      </c>
      <c r="AD57" s="2" t="str">
        <f t="shared" si="10"/>
        <v/>
      </c>
    </row>
    <row r="58" spans="1:30">
      <c r="A58" t="s">
        <v>183</v>
      </c>
      <c r="B58" s="2">
        <v>44</v>
      </c>
      <c r="D58" t="str">
        <f t="shared" si="9"/>
        <v>Planned</v>
      </c>
      <c r="E58" s="2">
        <v>2</v>
      </c>
      <c r="F58" s="2">
        <f t="shared" si="8"/>
        <v>2</v>
      </c>
      <c r="L58" s="2" t="str">
        <f t="shared" ref="L58:AB58" si="11">IF(OR(L$14="",$E58=""),"",K58)</f>
        <v/>
      </c>
      <c r="M58" s="2" t="str">
        <f t="shared" si="11"/>
        <v/>
      </c>
      <c r="N58" s="2" t="str">
        <f t="shared" si="11"/>
        <v/>
      </c>
      <c r="O58" s="2" t="str">
        <f t="shared" si="11"/>
        <v/>
      </c>
      <c r="P58" s="2" t="str">
        <f t="shared" si="11"/>
        <v/>
      </c>
      <c r="Q58" s="2" t="str">
        <f t="shared" si="11"/>
        <v/>
      </c>
      <c r="R58" s="2" t="str">
        <f t="shared" si="11"/>
        <v/>
      </c>
      <c r="S58" s="2" t="str">
        <f t="shared" si="11"/>
        <v/>
      </c>
      <c r="T58" s="2" t="str">
        <f t="shared" si="11"/>
        <v/>
      </c>
      <c r="U58" s="2" t="str">
        <f t="shared" si="11"/>
        <v/>
      </c>
      <c r="V58" s="2" t="str">
        <f t="shared" si="11"/>
        <v/>
      </c>
      <c r="W58" s="2" t="str">
        <f t="shared" si="11"/>
        <v/>
      </c>
      <c r="X58" s="2" t="str">
        <f t="shared" si="11"/>
        <v/>
      </c>
      <c r="Y58" s="2" t="str">
        <f t="shared" si="11"/>
        <v/>
      </c>
      <c r="Z58" s="2" t="str">
        <f t="shared" si="11"/>
        <v/>
      </c>
      <c r="AA58" s="2" t="str">
        <f t="shared" si="11"/>
        <v/>
      </c>
      <c r="AB58" s="2" t="str">
        <f t="shared" si="11"/>
        <v/>
      </c>
      <c r="AC58" s="2" t="str">
        <f t="shared" si="10"/>
        <v/>
      </c>
      <c r="AD58" s="2" t="str">
        <f t="shared" si="10"/>
        <v/>
      </c>
    </row>
    <row r="59" spans="1:30">
      <c r="A59" t="s">
        <v>184</v>
      </c>
      <c r="B59" s="2">
        <v>44</v>
      </c>
      <c r="D59" t="str">
        <f t="shared" si="9"/>
        <v>Planned</v>
      </c>
      <c r="E59" s="2">
        <v>2</v>
      </c>
      <c r="F59" s="2">
        <f t="shared" si="8"/>
        <v>2</v>
      </c>
      <c r="L59" s="2" t="str">
        <f t="shared" ref="L59:AB59" si="12">IF(OR(L$14="",$E59=""),"",K59)</f>
        <v/>
      </c>
      <c r="M59" s="2" t="str">
        <f t="shared" si="12"/>
        <v/>
      </c>
      <c r="N59" s="2" t="str">
        <f t="shared" si="12"/>
        <v/>
      </c>
      <c r="O59" s="2" t="str">
        <f t="shared" si="12"/>
        <v/>
      </c>
      <c r="P59" s="2" t="str">
        <f t="shared" si="12"/>
        <v/>
      </c>
      <c r="Q59" s="2" t="str">
        <f t="shared" si="12"/>
        <v/>
      </c>
      <c r="R59" s="2" t="str">
        <f t="shared" si="12"/>
        <v/>
      </c>
      <c r="S59" s="2" t="str">
        <f t="shared" si="12"/>
        <v/>
      </c>
      <c r="T59" s="2" t="str">
        <f t="shared" si="12"/>
        <v/>
      </c>
      <c r="U59" s="2" t="str">
        <f t="shared" si="12"/>
        <v/>
      </c>
      <c r="V59" s="2" t="str">
        <f t="shared" si="12"/>
        <v/>
      </c>
      <c r="W59" s="2" t="str">
        <f t="shared" si="12"/>
        <v/>
      </c>
      <c r="X59" s="2" t="str">
        <f t="shared" si="12"/>
        <v/>
      </c>
      <c r="Y59" s="2" t="str">
        <f t="shared" si="12"/>
        <v/>
      </c>
      <c r="Z59" s="2" t="str">
        <f t="shared" si="12"/>
        <v/>
      </c>
      <c r="AA59" s="2" t="str">
        <f t="shared" si="12"/>
        <v/>
      </c>
      <c r="AB59" s="2" t="str">
        <f t="shared" si="12"/>
        <v/>
      </c>
      <c r="AC59" s="2" t="str">
        <f t="shared" si="10"/>
        <v/>
      </c>
      <c r="AD59" s="2" t="str">
        <f t="shared" si="10"/>
        <v/>
      </c>
    </row>
    <row r="60" spans="1:30">
      <c r="A60" t="s">
        <v>185</v>
      </c>
      <c r="B60" s="2">
        <v>45</v>
      </c>
      <c r="D60" t="str">
        <f>IF(A60&lt;&gt;"","Planned","")</f>
        <v>Planned</v>
      </c>
      <c r="E60" s="2">
        <v>5</v>
      </c>
      <c r="F60" s="2">
        <f t="shared" si="8"/>
        <v>5</v>
      </c>
    </row>
    <row r="61" spans="1:30">
      <c r="A61" t="s">
        <v>183</v>
      </c>
      <c r="B61" s="2">
        <v>45</v>
      </c>
      <c r="D61" t="str">
        <f>IF(A61&lt;&gt;"","Planned","")</f>
        <v>Planned</v>
      </c>
      <c r="E61" s="2">
        <v>7</v>
      </c>
      <c r="F61" s="2">
        <f>IF(OR(F$14="",$E61=""),"",E61)</f>
        <v>7</v>
      </c>
    </row>
    <row r="62" spans="1:30">
      <c r="A62" t="s">
        <v>184</v>
      </c>
      <c r="B62" s="2">
        <v>45</v>
      </c>
      <c r="D62" t="str">
        <f>IF(A62&lt;&gt;"","Planned","")</f>
        <v>Planned</v>
      </c>
      <c r="E62" s="2">
        <v>2</v>
      </c>
      <c r="F62" s="2">
        <f>IF(OR(F$14="",$E62=""),"",E62)</f>
        <v>2</v>
      </c>
    </row>
    <row r="63" spans="1:30">
      <c r="A63" s="29" t="s">
        <v>159</v>
      </c>
      <c r="B63" s="28">
        <v>28</v>
      </c>
      <c r="C63" s="66" t="s">
        <v>149</v>
      </c>
      <c r="D63" s="29" t="s">
        <v>42</v>
      </c>
      <c r="E63" s="28">
        <v>5</v>
      </c>
      <c r="F63" s="28">
        <v>3</v>
      </c>
    </row>
    <row r="64" spans="1:30">
      <c r="A64" s="29" t="s">
        <v>160</v>
      </c>
      <c r="B64" s="28">
        <v>28</v>
      </c>
      <c r="C64" s="66" t="s">
        <v>149</v>
      </c>
      <c r="D64" s="29" t="s">
        <v>42</v>
      </c>
      <c r="E64" s="28">
        <v>2</v>
      </c>
      <c r="F64" s="28">
        <v>1</v>
      </c>
    </row>
    <row r="65" spans="1:6">
      <c r="A65" s="29" t="s">
        <v>161</v>
      </c>
      <c r="B65" s="28">
        <v>28</v>
      </c>
      <c r="C65" s="66" t="s">
        <v>149</v>
      </c>
      <c r="D65" s="29" t="s">
        <v>42</v>
      </c>
      <c r="E65" s="28">
        <v>2</v>
      </c>
      <c r="F65" s="28">
        <v>1</v>
      </c>
    </row>
    <row r="66" spans="1:6">
      <c r="A66" s="29" t="s">
        <v>162</v>
      </c>
      <c r="B66" s="28">
        <v>28</v>
      </c>
      <c r="C66" s="66" t="s">
        <v>149</v>
      </c>
      <c r="D66" s="29" t="s">
        <v>42</v>
      </c>
      <c r="E66" s="28">
        <v>10</v>
      </c>
      <c r="F66" s="28">
        <v>4</v>
      </c>
    </row>
    <row r="67" spans="1:6">
      <c r="A67" s="66" t="s">
        <v>154</v>
      </c>
      <c r="B67" s="28">
        <v>28</v>
      </c>
      <c r="C67" s="66" t="s">
        <v>149</v>
      </c>
      <c r="D67" s="29" t="s">
        <v>42</v>
      </c>
      <c r="E67" s="28">
        <v>5</v>
      </c>
      <c r="F67" s="28">
        <v>1</v>
      </c>
    </row>
    <row r="68" spans="1:6">
      <c r="A68" s="66" t="s">
        <v>163</v>
      </c>
      <c r="B68" s="28">
        <v>48</v>
      </c>
      <c r="C68" s="66" t="s">
        <v>149</v>
      </c>
      <c r="D68" s="29" t="s">
        <v>42</v>
      </c>
      <c r="E68" s="28">
        <v>2</v>
      </c>
      <c r="F68" s="28">
        <v>2</v>
      </c>
    </row>
    <row r="69" spans="1:6">
      <c r="A69" s="66" t="s">
        <v>164</v>
      </c>
      <c r="B69" s="28">
        <v>48</v>
      </c>
      <c r="C69" s="66" t="s">
        <v>149</v>
      </c>
      <c r="D69" s="29" t="s">
        <v>42</v>
      </c>
      <c r="E69" s="28">
        <v>3</v>
      </c>
      <c r="F69" s="28">
        <v>2</v>
      </c>
    </row>
    <row r="70" spans="1:6">
      <c r="A70" s="66" t="s">
        <v>165</v>
      </c>
      <c r="B70" s="28">
        <v>48</v>
      </c>
      <c r="C70" s="66" t="s">
        <v>149</v>
      </c>
      <c r="D70" s="29" t="s">
        <v>42</v>
      </c>
      <c r="E70" s="28">
        <v>4</v>
      </c>
      <c r="F70" s="28">
        <v>6</v>
      </c>
    </row>
    <row r="71" spans="1:6" ht="48">
      <c r="A71" s="67" t="s">
        <v>166</v>
      </c>
      <c r="B71" s="28">
        <v>48</v>
      </c>
      <c r="C71" s="66" t="s">
        <v>149</v>
      </c>
      <c r="D71" s="29" t="s">
        <v>42</v>
      </c>
      <c r="E71" s="28">
        <v>2</v>
      </c>
      <c r="F71" s="28">
        <v>3</v>
      </c>
    </row>
    <row r="72" spans="1:6">
      <c r="A72" s="66" t="s">
        <v>167</v>
      </c>
      <c r="B72" s="28">
        <v>48</v>
      </c>
      <c r="C72" s="66" t="s">
        <v>149</v>
      </c>
      <c r="D72" s="29" t="s">
        <v>42</v>
      </c>
      <c r="E72" s="28">
        <v>2</v>
      </c>
      <c r="F72" s="28">
        <v>2</v>
      </c>
    </row>
    <row r="73" spans="1:6">
      <c r="A73" s="66" t="s">
        <v>154</v>
      </c>
      <c r="B73" s="28">
        <v>48</v>
      </c>
      <c r="C73" s="66" t="s">
        <v>149</v>
      </c>
      <c r="D73" s="29" t="s">
        <v>42</v>
      </c>
      <c r="E73" s="28">
        <v>3</v>
      </c>
      <c r="F73" s="28">
        <v>3</v>
      </c>
    </row>
    <row r="74" spans="1:6">
      <c r="A74" s="66" t="s">
        <v>163</v>
      </c>
      <c r="B74" s="28">
        <v>49</v>
      </c>
      <c r="C74" s="66" t="s">
        <v>149</v>
      </c>
      <c r="D74" s="29" t="s">
        <v>42</v>
      </c>
      <c r="E74" s="28">
        <v>2</v>
      </c>
      <c r="F74" s="28">
        <v>1</v>
      </c>
    </row>
    <row r="75" spans="1:6">
      <c r="A75" s="66" t="s">
        <v>164</v>
      </c>
      <c r="B75" s="28">
        <v>49</v>
      </c>
      <c r="C75" s="66" t="s">
        <v>149</v>
      </c>
      <c r="D75" s="29" t="s">
        <v>42</v>
      </c>
      <c r="E75" s="28">
        <v>3</v>
      </c>
      <c r="F75" s="28">
        <v>2</v>
      </c>
    </row>
    <row r="76" spans="1:6">
      <c r="A76" s="66" t="s">
        <v>165</v>
      </c>
      <c r="B76" s="28">
        <v>49</v>
      </c>
      <c r="C76" s="66" t="s">
        <v>149</v>
      </c>
      <c r="D76" s="29" t="s">
        <v>42</v>
      </c>
      <c r="E76" s="28">
        <v>4</v>
      </c>
      <c r="F76" s="28">
        <v>2</v>
      </c>
    </row>
    <row r="77" spans="1:6" ht="60">
      <c r="A77" s="67" t="s">
        <v>168</v>
      </c>
      <c r="B77" s="28">
        <v>49</v>
      </c>
      <c r="C77" s="66" t="s">
        <v>149</v>
      </c>
      <c r="D77" s="29" t="s">
        <v>42</v>
      </c>
      <c r="E77" s="28">
        <v>2</v>
      </c>
      <c r="F77" s="28">
        <v>6</v>
      </c>
    </row>
    <row r="78" spans="1:6">
      <c r="A78" s="66" t="s">
        <v>167</v>
      </c>
      <c r="B78" s="28">
        <v>49</v>
      </c>
      <c r="C78" s="66" t="s">
        <v>149</v>
      </c>
      <c r="D78" s="29" t="s">
        <v>42</v>
      </c>
      <c r="E78" s="28">
        <v>2</v>
      </c>
      <c r="F78" s="28">
        <v>3</v>
      </c>
    </row>
    <row r="79" spans="1:6">
      <c r="A79" s="66" t="s">
        <v>154</v>
      </c>
      <c r="B79" s="28">
        <v>49</v>
      </c>
      <c r="C79" s="66" t="s">
        <v>149</v>
      </c>
      <c r="D79" s="29" t="s">
        <v>42</v>
      </c>
      <c r="E79" s="28">
        <v>3</v>
      </c>
      <c r="F79" s="28">
        <v>2</v>
      </c>
    </row>
  </sheetData>
  <conditionalFormatting sqref="A35:AD35 A38:AD56 B57:AD58 B61:F61 A57:A62">
    <cfRule type="expression" dxfId="29" priority="25" stopIfTrue="1">
      <formula>$D35="Done"</formula>
    </cfRule>
    <cfRule type="expression" dxfId="28" priority="26" stopIfTrue="1">
      <formula>$D35="Ongoing"</formula>
    </cfRule>
  </conditionalFormatting>
  <conditionalFormatting sqref="A15:AD34">
    <cfRule type="expression" dxfId="27" priority="17" stopIfTrue="1">
      <formula>$D15="Done"</formula>
    </cfRule>
    <cfRule type="expression" dxfId="26" priority="18" stopIfTrue="1">
      <formula>$D15="Ongoing"</formula>
    </cfRule>
  </conditionalFormatting>
  <conditionalFormatting sqref="A36:AD37">
    <cfRule type="expression" dxfId="25" priority="15" stopIfTrue="1">
      <formula>$D36="Done"</formula>
    </cfRule>
    <cfRule type="expression" dxfId="24" priority="16" stopIfTrue="1">
      <formula>$D36="Ongoing"</formula>
    </cfRule>
  </conditionalFormatting>
  <conditionalFormatting sqref="D60">
    <cfRule type="expression" dxfId="23" priority="13" stopIfTrue="1">
      <formula>$D60="Done"</formula>
    </cfRule>
    <cfRule type="expression" dxfId="22" priority="14" stopIfTrue="1">
      <formula>$D60="Ongoing"</formula>
    </cfRule>
  </conditionalFormatting>
  <conditionalFormatting sqref="B74:D74 A74:A79 E74:E79 A63:E73 C75:D79 F63:F79">
    <cfRule type="expression" dxfId="21" priority="11" stopIfTrue="1">
      <formula>$D63="Done"</formula>
    </cfRule>
    <cfRule type="expression" dxfId="20" priority="12" stopIfTrue="1">
      <formula>$D63="Ongoing"</formula>
    </cfRule>
  </conditionalFormatting>
  <conditionalFormatting sqref="B75">
    <cfRule type="expression" dxfId="19" priority="9" stopIfTrue="1">
      <formula>$D75="Done"</formula>
    </cfRule>
    <cfRule type="expression" dxfId="18" priority="10" stopIfTrue="1">
      <formula>$D75="Ongoing"</formula>
    </cfRule>
  </conditionalFormatting>
  <conditionalFormatting sqref="B76">
    <cfRule type="expression" dxfId="17" priority="7" stopIfTrue="1">
      <formula>$D76="Done"</formula>
    </cfRule>
    <cfRule type="expression" dxfId="16" priority="8" stopIfTrue="1">
      <formula>$D76="Ongoing"</formula>
    </cfRule>
  </conditionalFormatting>
  <conditionalFormatting sqref="B77">
    <cfRule type="expression" dxfId="15" priority="5" stopIfTrue="1">
      <formula>$D77="Done"</formula>
    </cfRule>
    <cfRule type="expression" dxfId="14" priority="6" stopIfTrue="1">
      <formula>$D77="Ongoing"</formula>
    </cfRule>
  </conditionalFormatting>
  <conditionalFormatting sqref="B78">
    <cfRule type="expression" dxfId="13" priority="3" stopIfTrue="1">
      <formula>$D78="Done"</formula>
    </cfRule>
    <cfRule type="expression" dxfId="12" priority="4" stopIfTrue="1">
      <formula>$D78="Ongoing"</formula>
    </cfRule>
  </conditionalFormatting>
  <conditionalFormatting sqref="B79">
    <cfRule type="expression" dxfId="11" priority="1" stopIfTrue="1">
      <formula>$D79="Done"</formula>
    </cfRule>
    <cfRule type="expression" dxfId="10" priority="2" stopIfTrue="1">
      <formula>$D79="Ongoing"</formula>
    </cfRule>
  </conditionalFormatting>
  <dataValidations count="1">
    <dataValidation type="list" allowBlank="1" showInputMessage="1" sqref="D3:D8 D15:D79" xr:uid="{00000000-0002-0000-04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4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1724025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5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2000250</xdr:colOff>
                    <xdr:row>5</xdr:row>
                    <xdr:rowOff>85725</xdr:rowOff>
                  </from>
                  <to>
                    <xdr:col>2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B10" sqref="B10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85">
        <v>3</v>
      </c>
      <c r="B1" s="86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>
      <c r="A9" s="16" t="s">
        <v>135</v>
      </c>
      <c r="B9" s="2">
        <v>5</v>
      </c>
      <c r="C9" s="16"/>
      <c r="D9" s="14"/>
      <c r="E9" s="16" t="s">
        <v>136</v>
      </c>
      <c r="F9" s="16" t="s">
        <v>137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>
      <c r="A10" s="16" t="s">
        <v>138</v>
      </c>
      <c r="B10" s="2">
        <v>6</v>
      </c>
      <c r="C10" s="16" t="s">
        <v>3</v>
      </c>
      <c r="D10" s="16" t="s">
        <v>139</v>
      </c>
      <c r="E10" s="15">
        <f ca="1">SUM(OFFSET(E14,1,0,TaskRows,1))</f>
        <v>0</v>
      </c>
      <c r="F10" s="15">
        <f ca="1">IF(AND(SUM(OFFSET(F14,1,0,TaskRows,1))=0),0,SUM(OFFSET(F14,1,0,TaskRows,1)))</f>
        <v>0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>
      <c r="A11" t="s">
        <v>140</v>
      </c>
      <c r="B11" s="2">
        <f>IF(COUNTA(A15:A242)=0,1,COUNTA(A15:A242))</f>
        <v>1</v>
      </c>
      <c r="C11" t="s">
        <v>141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46" t="s">
        <v>142</v>
      </c>
      <c r="B12"/>
      <c r="C12" t="s">
        <v>106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46" t="s">
        <v>143</v>
      </c>
      <c r="B13"/>
      <c r="C13" t="s">
        <v>144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6" t="s">
        <v>145</v>
      </c>
      <c r="B14" s="17" t="s">
        <v>16</v>
      </c>
      <c r="C14" s="16" t="s">
        <v>146</v>
      </c>
      <c r="D14" s="16" t="s">
        <v>6</v>
      </c>
      <c r="E14" s="17" t="s">
        <v>147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 t="str">
        <f t="shared" si="3"/>
        <v/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>
      <c r="E15" s="2">
        <v>0</v>
      </c>
      <c r="F15" s="2">
        <f t="shared" ref="F15:F59" si="4">IF(OR(F$14="",$E15=""),"",E15)</f>
        <v>0</v>
      </c>
    </row>
    <row r="16" spans="1:30">
      <c r="E16" s="2">
        <v>0</v>
      </c>
      <c r="F16" s="2">
        <f t="shared" si="4"/>
        <v>0</v>
      </c>
      <c r="AC16" s="2" t="str">
        <f t="shared" ref="AC16:AD35" si="5">IF(OR(AC$14="",$E16=""),"",AB16)</f>
        <v/>
      </c>
      <c r="AD16" s="2" t="str">
        <f t="shared" si="5"/>
        <v/>
      </c>
    </row>
    <row r="17" spans="4:30">
      <c r="E17" s="2">
        <v>0</v>
      </c>
      <c r="F17" s="2">
        <f t="shared" si="4"/>
        <v>0</v>
      </c>
      <c r="AC17" s="2" t="str">
        <f t="shared" si="5"/>
        <v/>
      </c>
      <c r="AD17" s="2" t="str">
        <f t="shared" si="5"/>
        <v/>
      </c>
    </row>
    <row r="18" spans="4:30">
      <c r="E18" s="2">
        <v>0</v>
      </c>
      <c r="F18" s="2">
        <f t="shared" si="4"/>
        <v>0</v>
      </c>
      <c r="AC18" s="2" t="str">
        <f t="shared" si="5"/>
        <v/>
      </c>
      <c r="AD18" s="2" t="str">
        <f t="shared" si="5"/>
        <v/>
      </c>
    </row>
    <row r="19" spans="4:30">
      <c r="D19" t="str">
        <f t="shared" ref="D19:D59" si="6">IF(A19&lt;&gt;"","Planned","")</f>
        <v/>
      </c>
      <c r="F19" s="2" t="str">
        <f t="shared" si="4"/>
        <v/>
      </c>
      <c r="AC19" s="2" t="str">
        <f t="shared" si="5"/>
        <v/>
      </c>
      <c r="AD19" s="2" t="str">
        <f t="shared" si="5"/>
        <v/>
      </c>
    </row>
    <row r="20" spans="4:30">
      <c r="D20" t="str">
        <f t="shared" si="6"/>
        <v/>
      </c>
      <c r="F20" s="2" t="str">
        <f t="shared" si="4"/>
        <v/>
      </c>
      <c r="AC20" s="2" t="str">
        <f t="shared" si="5"/>
        <v/>
      </c>
      <c r="AD20" s="2" t="str">
        <f t="shared" si="5"/>
        <v/>
      </c>
    </row>
    <row r="21" spans="4:30">
      <c r="D21" t="str">
        <f t="shared" si="6"/>
        <v/>
      </c>
      <c r="F21" s="2" t="str">
        <f t="shared" si="4"/>
        <v/>
      </c>
      <c r="AC21" s="2" t="str">
        <f t="shared" si="5"/>
        <v/>
      </c>
      <c r="AD21" s="2" t="str">
        <f t="shared" si="5"/>
        <v/>
      </c>
    </row>
    <row r="22" spans="4:30">
      <c r="D22" t="str">
        <f t="shared" si="6"/>
        <v/>
      </c>
      <c r="F22" s="2" t="str">
        <f t="shared" si="4"/>
        <v/>
      </c>
      <c r="AC22" s="2" t="str">
        <f t="shared" si="5"/>
        <v/>
      </c>
      <c r="AD22" s="2" t="str">
        <f t="shared" si="5"/>
        <v/>
      </c>
    </row>
    <row r="23" spans="4:30">
      <c r="D23" t="str">
        <f t="shared" si="6"/>
        <v/>
      </c>
      <c r="F23" s="2" t="str">
        <f t="shared" si="4"/>
        <v/>
      </c>
      <c r="AC23" s="2" t="str">
        <f t="shared" si="5"/>
        <v/>
      </c>
      <c r="AD23" s="2" t="str">
        <f t="shared" si="5"/>
        <v/>
      </c>
    </row>
    <row r="24" spans="4:30">
      <c r="D24" t="str">
        <f t="shared" si="6"/>
        <v/>
      </c>
      <c r="F24" s="2" t="str">
        <f t="shared" si="4"/>
        <v/>
      </c>
      <c r="AC24" s="2" t="str">
        <f t="shared" si="5"/>
        <v/>
      </c>
      <c r="AD24" s="2" t="str">
        <f t="shared" si="5"/>
        <v/>
      </c>
    </row>
    <row r="25" spans="4:30">
      <c r="D25" t="str">
        <f t="shared" si="6"/>
        <v/>
      </c>
      <c r="F25" s="2" t="str">
        <f t="shared" si="4"/>
        <v/>
      </c>
      <c r="AC25" s="2" t="str">
        <f t="shared" si="5"/>
        <v/>
      </c>
      <c r="AD25" s="2" t="str">
        <f t="shared" si="5"/>
        <v/>
      </c>
    </row>
    <row r="26" spans="4:30">
      <c r="D26" t="str">
        <f t="shared" si="6"/>
        <v/>
      </c>
      <c r="F26" s="2" t="str">
        <f t="shared" si="4"/>
        <v/>
      </c>
      <c r="AC26" s="2" t="str">
        <f t="shared" si="5"/>
        <v/>
      </c>
      <c r="AD26" s="2" t="str">
        <f t="shared" si="5"/>
        <v/>
      </c>
    </row>
    <row r="27" spans="4:30">
      <c r="D27" t="str">
        <f t="shared" si="6"/>
        <v/>
      </c>
      <c r="F27" s="2" t="str">
        <f t="shared" si="4"/>
        <v/>
      </c>
      <c r="AC27" s="2" t="str">
        <f t="shared" si="5"/>
        <v/>
      </c>
      <c r="AD27" s="2" t="str">
        <f t="shared" si="5"/>
        <v/>
      </c>
    </row>
    <row r="28" spans="4:30">
      <c r="D28" t="str">
        <f t="shared" si="6"/>
        <v/>
      </c>
      <c r="F28" s="2" t="str">
        <f t="shared" si="4"/>
        <v/>
      </c>
      <c r="AC28" s="2" t="str">
        <f t="shared" si="5"/>
        <v/>
      </c>
      <c r="AD28" s="2" t="str">
        <f t="shared" si="5"/>
        <v/>
      </c>
    </row>
    <row r="29" spans="4:30">
      <c r="D29" t="str">
        <f t="shared" si="6"/>
        <v/>
      </c>
      <c r="F29" s="2" t="str">
        <f t="shared" si="4"/>
        <v/>
      </c>
      <c r="AC29" s="2" t="str">
        <f t="shared" si="5"/>
        <v/>
      </c>
      <c r="AD29" s="2" t="str">
        <f t="shared" si="5"/>
        <v/>
      </c>
    </row>
    <row r="30" spans="4:30">
      <c r="D30" t="str">
        <f t="shared" si="6"/>
        <v/>
      </c>
      <c r="F30" s="2" t="str">
        <f t="shared" si="4"/>
        <v/>
      </c>
      <c r="AC30" s="2" t="str">
        <f t="shared" si="5"/>
        <v/>
      </c>
      <c r="AD30" s="2" t="str">
        <f t="shared" si="5"/>
        <v/>
      </c>
    </row>
    <row r="31" spans="4:30">
      <c r="D31" t="str">
        <f t="shared" si="6"/>
        <v/>
      </c>
      <c r="F31" s="2" t="str">
        <f t="shared" si="4"/>
        <v/>
      </c>
      <c r="AC31" s="2" t="str">
        <f t="shared" si="5"/>
        <v/>
      </c>
      <c r="AD31" s="2" t="str">
        <f t="shared" si="5"/>
        <v/>
      </c>
    </row>
    <row r="32" spans="4:30">
      <c r="D32" t="str">
        <f t="shared" si="6"/>
        <v/>
      </c>
      <c r="F32" s="2" t="str">
        <f t="shared" si="4"/>
        <v/>
      </c>
      <c r="AC32" s="2" t="str">
        <f t="shared" si="5"/>
        <v/>
      </c>
      <c r="AD32" s="2" t="str">
        <f t="shared" si="5"/>
        <v/>
      </c>
    </row>
    <row r="33" spans="4:30">
      <c r="D33" t="str">
        <f t="shared" si="6"/>
        <v/>
      </c>
      <c r="F33" s="2" t="str">
        <f t="shared" si="4"/>
        <v/>
      </c>
      <c r="AC33" s="2" t="str">
        <f t="shared" si="5"/>
        <v/>
      </c>
      <c r="AD33" s="2" t="str">
        <f t="shared" si="5"/>
        <v/>
      </c>
    </row>
    <row r="34" spans="4:30">
      <c r="D34" t="str">
        <f t="shared" si="6"/>
        <v/>
      </c>
      <c r="F34" s="2" t="str">
        <f t="shared" si="4"/>
        <v/>
      </c>
      <c r="AC34" s="2" t="str">
        <f t="shared" si="5"/>
        <v/>
      </c>
      <c r="AD34" s="2" t="str">
        <f t="shared" si="5"/>
        <v/>
      </c>
    </row>
    <row r="35" spans="4:30">
      <c r="D35" t="str">
        <f t="shared" si="6"/>
        <v/>
      </c>
      <c r="F35" s="2" t="str">
        <f t="shared" si="4"/>
        <v/>
      </c>
      <c r="AC35" s="2" t="str">
        <f t="shared" si="5"/>
        <v/>
      </c>
      <c r="AD35" s="2" t="str">
        <f t="shared" si="5"/>
        <v/>
      </c>
    </row>
    <row r="36" spans="4:30">
      <c r="D36" t="str">
        <f t="shared" si="6"/>
        <v/>
      </c>
      <c r="F36" s="2" t="str">
        <f t="shared" si="4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6"/>
        <v/>
      </c>
      <c r="F37" s="2" t="str">
        <f t="shared" si="4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6"/>
        <v/>
      </c>
      <c r="F38" s="2" t="str">
        <f t="shared" si="4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6"/>
        <v/>
      </c>
      <c r="F39" s="2" t="str">
        <f t="shared" si="4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6"/>
        <v/>
      </c>
      <c r="F40" s="2" t="str">
        <f t="shared" si="4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6"/>
        <v/>
      </c>
      <c r="F41" s="2" t="str">
        <f t="shared" si="4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6"/>
        <v/>
      </c>
      <c r="F42" s="2" t="str">
        <f t="shared" si="4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6"/>
        <v/>
      </c>
      <c r="F43" s="2" t="str">
        <f t="shared" si="4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6"/>
        <v/>
      </c>
      <c r="F44" s="2" t="str">
        <f t="shared" si="4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6"/>
        <v/>
      </c>
      <c r="F45" s="2" t="str">
        <f t="shared" si="4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6"/>
        <v/>
      </c>
      <c r="F46" s="2" t="str">
        <f t="shared" si="4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6"/>
        <v/>
      </c>
      <c r="F47" s="2" t="str">
        <f t="shared" si="4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6"/>
        <v/>
      </c>
      <c r="F48" s="2" t="str">
        <f t="shared" si="4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6"/>
        <v/>
      </c>
      <c r="F49" s="2" t="str">
        <f t="shared" si="4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6"/>
        <v/>
      </c>
      <c r="F50" s="2" t="str">
        <f t="shared" si="4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6"/>
        <v/>
      </c>
      <c r="F51" s="2" t="str">
        <f t="shared" si="4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6"/>
        <v/>
      </c>
      <c r="F52" s="2" t="str">
        <f t="shared" si="4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6"/>
        <v/>
      </c>
      <c r="F53" s="2" t="str">
        <f t="shared" si="4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6"/>
        <v/>
      </c>
      <c r="F54" s="2" t="str">
        <f t="shared" si="4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6"/>
        <v/>
      </c>
      <c r="F55" s="2" t="str">
        <f t="shared" si="4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6"/>
        <v/>
      </c>
      <c r="F56" s="2" t="str">
        <f t="shared" si="4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6"/>
        <v/>
      </c>
      <c r="F57" s="2" t="str">
        <f t="shared" si="4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6"/>
        <v/>
      </c>
      <c r="F58" s="2" t="str">
        <f t="shared" si="4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6"/>
        <v/>
      </c>
      <c r="F59" s="2" t="str">
        <f t="shared" si="4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 xr:uid="{00000000-0002-0000-05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4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1724025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r:id="rId5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2000250</xdr:colOff>
                    <xdr:row>5</xdr:row>
                    <xdr:rowOff>85725</xdr:rowOff>
                  </from>
                  <to>
                    <xdr:col>2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D64"/>
  <sheetViews>
    <sheetView workbookViewId="0">
      <pane ySplit="14" topLeftCell="A15" activePane="bottomLeft" state="frozen"/>
      <selection pane="bottomLeft" activeCell="O23" sqref="O23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85">
        <v>1</v>
      </c>
      <c r="B1" s="86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>
      <c r="A9" s="16" t="s">
        <v>135</v>
      </c>
      <c r="B9" s="2">
        <v>5</v>
      </c>
      <c r="C9" s="16"/>
      <c r="D9" s="14"/>
      <c r="E9" s="16" t="s">
        <v>136</v>
      </c>
      <c r="F9" s="16" t="s">
        <v>137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>
      <c r="A10" s="16" t="s">
        <v>138</v>
      </c>
      <c r="B10" s="2">
        <v>5</v>
      </c>
      <c r="C10" s="16" t="s">
        <v>3</v>
      </c>
      <c r="D10" s="16" t="s">
        <v>139</v>
      </c>
      <c r="E10" s="15">
        <f ca="1">SUM(OFFSET(E14,1,0,TaskRows,1))</f>
        <v>0</v>
      </c>
      <c r="F10" s="15">
        <f ca="1">IF(AND(SUM(OFFSET(F14,1,0,TaskRows,1))=0),0,SUM(OFFSET(F14,1,0,TaskRows,1)))</f>
        <v>0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>
      <c r="A11" t="s">
        <v>140</v>
      </c>
      <c r="B11" s="2">
        <f>IF(COUNTA(A15:A242)=0,1,COUNTA(A15:A242))</f>
        <v>1</v>
      </c>
      <c r="C11" t="s">
        <v>141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46" t="s">
        <v>142</v>
      </c>
      <c r="B12"/>
      <c r="C12" t="s">
        <v>106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46" t="s">
        <v>143</v>
      </c>
      <c r="B13"/>
      <c r="C13" t="s">
        <v>144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6" t="s">
        <v>145</v>
      </c>
      <c r="B14" s="17" t="s">
        <v>16</v>
      </c>
      <c r="C14" s="16" t="s">
        <v>146</v>
      </c>
      <c r="D14" s="16" t="s">
        <v>6</v>
      </c>
      <c r="E14" s="17" t="s">
        <v>147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 t="str">
        <f t="shared" si="3"/>
        <v/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6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4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1724025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5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2000250</xdr:colOff>
                    <xdr:row>5</xdr:row>
                    <xdr:rowOff>85725</xdr:rowOff>
                  </from>
                  <to>
                    <xdr:col>2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2:A10"/>
  <sheetViews>
    <sheetView zoomScale="145" zoomScaleNormal="145" workbookViewId="0"/>
  </sheetViews>
  <sheetFormatPr defaultRowHeight="12.75"/>
  <cols>
    <col min="1" max="1" width="11.42578125" style="29" customWidth="1"/>
    <col min="2" max="2" width="9.28515625" style="29" customWidth="1"/>
    <col min="3" max="3" width="11.42578125" style="29" customWidth="1"/>
    <col min="4" max="4" width="32.7109375" style="29" customWidth="1"/>
    <col min="5" max="5" width="11.42578125" style="29" customWidth="1"/>
    <col min="6" max="6" width="32.7109375" style="29" customWidth="1"/>
    <col min="7" max="256" width="11.42578125" style="29" customWidth="1"/>
    <col min="257" max="16384" width="9.140625" style="29"/>
  </cols>
  <sheetData>
    <row r="2" ht="89.25" customHeight="1"/>
    <row r="10" ht="89.25" customHeight="1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SysOpen Digia Plc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Hébert, François</cp:lastModifiedBy>
  <cp:revision>1</cp:revision>
  <dcterms:created xsi:type="dcterms:W3CDTF">1998-06-05T11:20:44Z</dcterms:created>
  <dcterms:modified xsi:type="dcterms:W3CDTF">2023-07-12T03:00:10Z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